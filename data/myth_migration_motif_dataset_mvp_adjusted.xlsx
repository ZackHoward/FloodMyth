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3e1ea28e68d40c8" /></Relationships>
</file>

<file path=xl/workbook.xml><?xml version="1.0" encoding="utf-8"?>
<x:workbook xmlns:x="http://schemas.openxmlformats.org/spreadsheetml/2006/main">
  <x:sheets>
    <x:sheet xmlns:r="http://schemas.openxmlformats.org/officeDocument/2006/relationships" name="Motif Matrix" sheetId="1" r:id="R644f82bf1e0c45d2"/>
    <x:sheet xmlns:r="http://schemas.openxmlformats.org/officeDocument/2006/relationships" name="Motif Codebook" sheetId="2" r:id="Rdb0de7bcb6784b05"/>
    <x:sheet xmlns:r="http://schemas.openxmlformats.org/officeDocument/2006/relationships" name="Story Type Summary" sheetId="3" r:id="R51485d8bb35841a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6">
    <x:font>
      <x:sz val="11"/>
      <x:name val="Carlito"/>
    </x:font>
    <x:font>
      <x:b/>
      <x:sz val="16"/>
      <x:color rgb="1F2937"/>
      <x:name val="Carlito"/>
    </x:font>
    <x:font>
      <x:sz val="10"/>
      <x:color rgb="4B5563"/>
      <x:name val="Carlito"/>
    </x:font>
    <x:font>
      <x:b/>
      <x:sz val="11"/>
      <x:color rgb="1F2937"/>
      <x:name val="Carlito"/>
    </x:font>
    <x:font>
      <x:sz val="10"/>
      <x:name val="Carlito"/>
    </x:font>
    <x:font>
      <x:b/>
      <x:sz val="9"/>
      <x:color rgb="1F2937"/>
      <x:name val="Carlito"/>
    </x:font>
  </x:fonts>
  <x:fills count="2">
    <x:fill>
      <x:patternFill patternType="none"/>
    </x:fill>
    <x:fill>
      <x:patternFill patternType="gray125"/>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0" borderId="0" xfId="0" applyNumberFormat="1" applyFont="1" applyFill="0" applyBorder="1"/>
    <x:xf numFmtId="0" fontId="3" borderId="0" xfId="0" applyNumberFormat="1" applyFont="1" applyFill="0" applyBorder="1"/>
    <x:xf numFmtId="0" fontId="0" borderId="1" xfId="0" applyNumberFormat="1" applyFont="1" applyFill="0" applyBorder="1"/>
    <x:xf numFmtId="0" fontId="3" borderId="1" xfId="0" applyNumberFormat="1" applyFont="1" applyFill="0" applyBorder="1"/>
    <x:xf numFmtId="0" fontId="4" fillId="0" borderId="0" xfId="0" applyNumberFormat="1" applyFont="1" applyFill="1" applyBorder="1"/>
    <x:xf numFmtId="0" fontId="4" fillId="0" borderId="1" xfId="0" applyNumberFormat="1" applyFont="1" applyFill="1" applyBorder="1"/>
    <x:xf numFmtId="200" fontId="4" fillId="0" borderId="0" xfId="0" applyNumberFormat="1" applyFont="1" applyFill="1" applyBorder="1"/>
    <x:xf numFmtId="200" fontId="4" fillId="0" borderId="1" xfId="0" applyNumberFormat="1" applyFont="1" applyFill="1" applyBorder="1"/>
    <x:xf numFmtId="0" fontId="5" borderId="0" xfId="0" applyNumberFormat="1" applyFont="1" applyFill="0" applyBorder="1"/>
    <x:xf numFmtId="0" fontId="5" borderId="1" xfId="0" applyNumberFormat="1" applyFont="1" applyFill="0" applyBorder="1"/>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horizontal="center" wrapText="1"/>
    </x:xf>
  </x:cellXfs>
  <x:cellStyles count="1">
    <x:cellStyle name="Normal" xfId="0"/>
  </x:cellStyles>
  <x:dxfs count="8">
    <x:dxf/>
    <x:dxf/>
    <x:dxf/>
    <x:dxf/>
    <x:dxf/>
    <x:dxf/>
    <x:dxf/>
    <x:dxf/>
  </x:dxfs>
</x:styleSheet>
</file>

<file path=xl/_rels/workbook.xml.rels>&#65279;<?xml version="1.0" encoding="utf-8"?><Relationships xmlns="http://schemas.openxmlformats.org/package/2006/relationships"><Relationship Type="http://schemas.openxmlformats.org/officeDocument/2006/relationships/styles" Target="/xl/styles.xml" Id="Rb4a35a0c75c945f3" /><Relationship Type="http://schemas.openxmlformats.org/officeDocument/2006/relationships/theme" Target="/xl/theme/theme1.xml" Id="Rd9355bc5f11b4527" /><Relationship Type="http://schemas.openxmlformats.org/officeDocument/2006/relationships/sharedStrings" Target="/xl/sharedStrings.xml" Id="R7bdc7221360c4571" /><Relationship Type="http://schemas.openxmlformats.org/officeDocument/2006/relationships/worksheet" Target="/xl/worksheets/sheet1.xml" Id="R644f82bf1e0c45d2" /><Relationship Type="http://schemas.openxmlformats.org/officeDocument/2006/relationships/worksheet" Target="/xl/worksheets/sheet2.xml" Id="Rdb0de7bcb6784b05" /><Relationship Type="http://schemas.openxmlformats.org/officeDocument/2006/relationships/worksheet" Target="/xl/worksheets/sheet3.xml" Id="R51485d8bb35841a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30" hidden="0" customWidth="1"/>
    <x:col min="3" max="3" width="22" hidden="0" customWidth="1"/>
    <x:col min="4" max="4" width="22" hidden="0" customWidth="1"/>
    <x:col min="5" max="5" width="38" hidden="0" customWidth="1"/>
    <x:col min="6" max="6" width="26" hidden="0" customWidth="1"/>
    <x:col min="7" max="7" width="26" hidden="0" customWidth="1"/>
    <x:col min="8" max="8" width="26" hidden="0" customWidth="1"/>
    <x:col min="9" max="9" width="16" hidden="0" customWidth="1"/>
    <x:col min="10" max="10" width="80" hidden="0" customWidth="1"/>
    <x:col min="11" max="11" width="18" hidden="0" customWidth="1"/>
    <x:col min="12" max="12" width="24"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16" hidden="0" customWidth="1"/>
    <x:col min="48" max="48" width="16" hidden="0" customWidth="1"/>
    <x:col min="49" max="49" width="16" hidden="0" customWidth="1"/>
    <x:col min="50" max="50" width="16" hidden="0" customWidth="1"/>
    <x:col min="51" max="51" width="16" hidden="0" customWidth="1"/>
    <x:col min="52" max="52" width="16" hidden="0" customWidth="1"/>
    <x:col min="53" max="53" width="16" hidden="0" customWidth="1"/>
    <x:col min="54" max="54" width="16" hidden="0" customWidth="1"/>
    <x:col min="55" max="55" width="16" hidden="0" customWidth="1"/>
    <x:col min="56" max="56" width="16" hidden="0" customWidth="1"/>
    <x:col min="57" max="57" width="16" hidden="0" customWidth="1"/>
    <x:col min="58" max="58" width="16" hidden="0" customWidth="1"/>
    <x:col min="59" max="59" width="16" hidden="0" customWidth="1"/>
    <x:col min="60" max="60" width="16" hidden="0" customWidth="1"/>
    <x:col min="61" max="61" width="16" hidden="0" customWidth="1"/>
    <x:col min="62" max="62" width="16" hidden="0" customWidth="1"/>
    <x:col min="63" max="63" width="16" hidden="0" customWidth="1"/>
    <x:col min="64" max="64" width="16" hidden="0" customWidth="1"/>
    <x:col min="65" max="65" width="16" hidden="0" customWidth="1"/>
    <x:col min="66" max="66" width="16" hidden="0" customWidth="1"/>
    <x:col min="67" max="67" width="16" hidden="0" customWidth="1"/>
    <x:col min="68" max="68" width="16" hidden="0" customWidth="1"/>
    <x:col min="87" max="87" width="14" hidden="0" customWidth="1"/>
    <x:col min="88" max="88" width="24" hidden="0" customWidth="1"/>
    <x:col min="89" max="89" width="14" hidden="0" customWidth="1"/>
    <x:col min="90" max="90" width="14" hidden="0" customWidth="1"/>
    <x:col min="91" max="91" width="20" hidden="0" customWidth="1"/>
    <x:col min="92" max="92" width="48" hidden="0" customWidth="1"/>
  </x:cols>
  <x:sheetData>
    <x:row r="1" ht="26" customHeight="1">
      <x:c r="A1" s="2" t="str">
        <x:v>Myth Migration — MVP Motif Matrix</x:v>
      </x:c>
    </x:row>
    <x:row r="2" ht="30" customHeight="1">
      <x:c r="A2" s="4" t="str">
        <x:v>Values: 1 = present; 0 = absent; partial = partial/structural analogue; unclear = source does not allow confident coding; ambiguous = internally inconsistent; n/a = not applicable.</x:v>
      </x:c>
    </x:row>
    <x:row r="4" ht="90" customHeight="1">
      <x:c r="A4" s="14" t="str">
        <x:v>story_id</x:v>
      </x:c>
      <x:c r="B4" s="14" t="str">
        <x:v>story_name</x:v>
      </x:c>
      <x:c r="C4" s="14" t="str">
        <x:v>culture</x:v>
      </x:c>
      <x:c r="D4" s="14" t="str">
        <x:v>region</x:v>
      </x:c>
      <x:c r="E4" s="14" t="str">
        <x:v>primary_source</x:v>
      </x:c>
      <x:c r="F4" s="14" t="str">
        <x:v>source_type</x:v>
      </x:c>
      <x:c r="G4" s="14" t="str">
        <x:v>story_type</x:v>
      </x:c>
      <x:c r="H4" s="14" t="str">
        <x:v>overall_confidence</x:v>
      </x:c>
      <x:c r="I4" s="14" t="str">
        <x:v>source_caution</x:v>
      </x:c>
      <x:c r="J4" s="14" t="str">
        <x:v>notes</x:v>
      </x:c>
      <x:c r="K4" s="14" t="str">
        <x:v>present_motif_score</x:v>
      </x:c>
      <x:c r="L4" s="14" t="str">
        <x:v>uncertain_or_partial_count</x:v>
      </x:c>
      <x:c r="M4" s="14" t="str">
        <x:v>moral_cause</x:v>
      </x:c>
      <x:c r="N4" s="14" t="str">
        <x:v>noise_or_overpopulation_cause</x:v>
      </x:c>
      <x:c r="O4" s="14" t="str">
        <x:v>failed_creation_cause</x:v>
      </x:c>
      <x:c r="P4" s="14" t="str">
        <x:v>primordial_or_cosmic_disorder</x:v>
      </x:c>
      <x:c r="Q4" s="14" t="str">
        <x:v>world_age_cycle</x:v>
      </x:c>
      <x:c r="R4" s="14" t="str">
        <x:v>divine_decision_to_flood_or_destroy</x:v>
      </x:c>
      <x:c r="S4" s="14" t="str">
        <x:v>council_or_multiple_deities</x:v>
      </x:c>
      <x:c r="T4" s="14" t="str">
        <x:v>flood_as_natural_or_sea_overflow</x:v>
      </x:c>
      <x:c r="U4" s="14" t="str">
        <x:v>blood_flood</x:v>
      </x:c>
      <x:c r="V4" s="14" t="str">
        <x:v>flood_control_governance_problem</x:v>
      </x:c>
      <x:c r="W4" s="14" t="str">
        <x:v>chosen_survivor_or_group</x:v>
      </x:c>
      <x:c r="X4" s="14" t="str">
        <x:v>survivor_righteous_pious_religious</x:v>
      </x:c>
      <x:c r="Y4" s="14" t="str">
        <x:v>survivor_is_king_priest_ruler</x:v>
      </x:c>
      <x:c r="Z4" s="14" t="str">
        <x:v>survivor_couple</x:v>
      </x:c>
      <x:c r="AA4" s="14" t="str">
        <x:v>family_or_household_saved</x:v>
      </x:c>
      <x:c r="AB4" s="14" t="str">
        <x:v>animal_or_supernatural_helper_warning</x:v>
      </x:c>
      <x:c r="AC4" s="14" t="str">
        <x:v>divine_or_supernatural_warning</x:v>
      </x:c>
      <x:c r="AD4" s="14" t="str">
        <x:v>warning_secret_indirect_wall</x:v>
      </x:c>
      <x:c r="AE4" s="14" t="str">
        <x:v>dream_warning</x:v>
      </x:c>
      <x:c r="AF4" s="14" t="str">
        <x:v>specific_warning_timing</x:v>
      </x:c>
      <x:c r="AG4" s="14" t="str">
        <x:v>boat_or_vessel</x:v>
      </x:c>
      <x:c r="AH4" s="14" t="str">
        <x:v>non_boat_container_or_tree_chest_vessel</x:v>
      </x:c>
      <x:c r="AI4" s="14" t="str">
        <x:v>construction_instructions</x:v>
      </x:c>
      <x:c r="AJ4" s="14" t="str">
        <x:v>specific_vessel_dimensions</x:v>
      </x:c>
      <x:c r="AK4" s="14" t="str">
        <x:v>pitch_or_waterproofing</x:v>
      </x:c>
      <x:c r="AL4" s="14" t="str">
        <x:v>food_stored_or_rationed</x:v>
      </x:c>
      <x:c r="AM4" s="14" t="str">
        <x:v>animals_preserved_or_co_survive</x:v>
      </x:c>
      <x:c r="AN4" s="14" t="str">
        <x:v>civilization_knowledge_or_craftsmen_preserved</x:v>
      </x:c>
      <x:c r="AO4" s="14" t="str">
        <x:v>mountain_landing_or_refuge</x:v>
      </x:c>
      <x:c r="AP4" s="14" t="str">
        <x:v>waters_recede_or_subside</x:v>
      </x:c>
      <x:c r="AQ4" s="14" t="str">
        <x:v>storm_or_rain</x:v>
      </x:c>
      <x:c r="AR4" s="14" t="str">
        <x:v>water_from_above_and_below_or_cosmic_sources</x:v>
      </x:c>
      <x:c r="AS4" s="14" t="str">
        <x:v>sea_lake_overflow</x:v>
      </x:c>
      <x:c r="AT4" s="14" t="str">
        <x:v>totalizing_flood_language</x:v>
      </x:c>
      <x:c r="AU4" s="14" t="str">
        <x:v>regional_flood_language</x:v>
      </x:c>
      <x:c r="AV4" s="14" t="str">
        <x:v>humanity_destroyed_or_reset</x:v>
      </x:c>
      <x:c r="AW4" s="14" t="str">
        <x:v>nonhuman_or_giant_population_destroyed</x:v>
      </x:c>
      <x:c r="AX4" s="14" t="str">
        <x:v>animals_or_objects_rebel</x:v>
      </x:c>
      <x:c r="AY4" s="14" t="str">
        <x:v>transformation_after_catastrophe</x:v>
      </x:c>
      <x:c r="AZ4" s="14" t="str">
        <x:v>bird_test</x:v>
      </x:c>
      <x:c r="BA4" s="14" t="str">
        <x:v>post_flood_sacrifice_or_offering</x:v>
      </x:c>
      <x:c r="BB4" s="14" t="str">
        <x:v>divine_smells_or_accepts_offering</x:v>
      </x:c>
      <x:c r="BC4" s="14" t="str">
        <x:v>post_flood_offering_misdirected_or_inverted</x:v>
      </x:c>
      <x:c r="BD4" s="14" t="str">
        <x:v>divine_regret_grief_conflict_after_flood</x:v>
      </x:c>
      <x:c r="BE4" s="14" t="str">
        <x:v>survivor_reward_or_blessing</x:v>
      </x:c>
      <x:c r="BF4" s="14" t="str">
        <x:v>covenant_promise_or_rainbow</x:v>
      </x:c>
      <x:c r="BG4" s="14" t="str">
        <x:v>immortality_or_godlike_reward</x:v>
      </x:c>
      <x:c r="BH4" s="14" t="str">
        <x:v>new_rules_or_order_after_flood</x:v>
      </x:c>
      <x:c r="BI4" s="14" t="str">
        <x:v>population_control_after_flood</x:v>
      </x:c>
      <x:c r="BJ4" s="14" t="str">
        <x:v>humanity_restored_after_flood</x:v>
      </x:c>
      <x:c r="BK4" s="14" t="str">
        <x:v>ritual_recreation_after_flood</x:v>
      </x:c>
      <x:c r="BL4" s="14" t="str">
        <x:v>stones_bones_blood_or_material_recreation</x:v>
      </x:c>
      <x:c r="BM4" s="14" t="str">
        <x:v>civilization_restored_after_flood</x:v>
      </x:c>
      <x:c r="BN4" s="14" t="str">
        <x:v>hydraulic_engineering_or_public_works</x:v>
      </x:c>
      <x:c r="BO4" s="14" t="str">
        <x:v>animal_body_or_species_origin_motif</x:v>
      </x:c>
      <x:c r="BP4" s="14" t="str">
        <x:v>source_biblical_influence_caution</x:v>
      </x:c>
      <x:c r="CI4" s="18" t="str">
        <x:v>include_in_core_analysis</x:v>
      </x:c>
      <x:c r="CJ4" s="18" t="str">
        <x:v>analysis_group</x:v>
      </x:c>
      <x:c r="CK4" s="18" t="str">
        <x:v>core_survivor_package_score</x:v>
      </x:c>
      <x:c r="CL4" s="18" t="str">
        <x:v>expanded_flood_catastrophe_score</x:v>
      </x:c>
      <x:c r="CM4" s="18" t="str">
        <x:v>recommended_first_visual</x:v>
      </x:c>
      <x:c r="CN4" s="18" t="str">
        <x:v>score_notes</x:v>
      </x:c>
    </x:row>
    <x:row r="5" ht="92" customHeight="1">
      <x:c r="A5" s="10" t="str">
        <x:v>FM-001</x:v>
      </x:c>
      <x:c r="B5" s="10" t="str">
        <x:v>Genesis Flood / Noah</x:v>
      </x:c>
      <x:c r="C5" s="10" t="str">
        <x:v>Israelite-Judahite</x:v>
      </x:c>
      <x:c r="D5" s="10" t="str">
        <x:v>Levant</x:v>
      </x:c>
      <x:c r="E5" s="10" t="str">
        <x:v>Genesis 6:9–9:17, NIV</x:v>
      </x:c>
      <x:c r="F5" s="10" t="str">
        <x:v>Scriptural narrative</x:v>
      </x:c>
      <x:c r="G5" s="10" t="str">
        <x:v>survivor-ark flood</x:v>
      </x:c>
      <x:c r="H5" s="10" t="str">
        <x:v>high</x:v>
      </x:c>
      <x:c r="I5" s="10" t="str">
        <x:v>Canonical text; strong internal chronology and technical ark details.</x:v>
      </x:c>
      <x:c r="J5" s="10" t="str">
        <x:v>Moral corruption/violence causes flood; Noah receives direct warning, builds ark with pitch and dimensions, preserves family and animals, lands on Ararat, sends birds, sacrifices, and receives covenant/rainbow plus post-flood rules.</x:v>
      </x:c>
      <x:c r="K5" s="12" t="n">
        <x:f>COUNTIF(M5:BP5,1)+0.5*COUNTIF(M5:BP5,"partial")</x:f>
        <x:v>27</x:v>
      </x:c>
      <x:c r="L5" s="12" t="n">
        <x:f>COUNTIF(M5:BP5,"partial")+COUNTIF(M5:BP5,"unclear")+COUNTIF(M5:BP5,"ambiguous")+COUNTIF(M5:BP5,"n/a")</x:f>
        <x:v>2</x:v>
      </x:c>
      <x:c r="M5" s="10" t="n">
        <x:v>1</x:v>
      </x:c>
      <x:c r="N5" s="10" t="n">
        <x:v>0</x:v>
      </x:c>
      <x:c r="O5" s="10" t="n">
        <x:v>0</x:v>
      </x:c>
      <x:c r="P5" s="10" t="n">
        <x:v>0</x:v>
      </x:c>
      <x:c r="Q5" s="10" t="n">
        <x:v>0</x:v>
      </x:c>
      <x:c r="R5" s="10" t="n">
        <x:v>1</x:v>
      </x:c>
      <x:c r="S5" s="10" t="n">
        <x:v>0</x:v>
      </x:c>
      <x:c r="T5" s="10" t="n">
        <x:v>0</x:v>
      </x:c>
      <x:c r="U5" s="10" t="n">
        <x:v>0</x:v>
      </x:c>
      <x:c r="V5" s="10" t="n">
        <x:v>0</x:v>
      </x:c>
      <x:c r="W5" s="10" t="n">
        <x:v>1</x:v>
      </x:c>
      <x:c r="X5" s="10" t="n">
        <x:v>1</x:v>
      </x:c>
      <x:c r="Y5" s="10" t="n">
        <x:v>0</x:v>
      </x:c>
      <x:c r="Z5" s="10" t="n">
        <x:v>0</x:v>
      </x:c>
      <x:c r="AA5" s="10" t="n">
        <x:v>1</x:v>
      </x:c>
      <x:c r="AB5" s="10" t="n">
        <x:v>0</x:v>
      </x:c>
      <x:c r="AC5" s="10" t="n">
        <x:v>1</x:v>
      </x:c>
      <x:c r="AD5" s="10" t="n">
        <x:v>0</x:v>
      </x:c>
      <x:c r="AE5" s="10" t="n">
        <x:v>0</x:v>
      </x:c>
      <x:c r="AF5" s="10" t="n">
        <x:v>1</x:v>
      </x:c>
      <x:c r="AG5" s="10" t="n">
        <x:v>1</x:v>
      </x:c>
      <x:c r="AH5" s="10" t="n">
        <x:v>0</x:v>
      </x:c>
      <x:c r="AI5" s="10" t="n">
        <x:v>1</x:v>
      </x:c>
      <x:c r="AJ5" s="10" t="n">
        <x:v>1</x:v>
      </x:c>
      <x:c r="AK5" s="10" t="n">
        <x:v>1</x:v>
      </x:c>
      <x:c r="AL5" s="10" t="n">
        <x:v>1</x:v>
      </x:c>
      <x:c r="AM5" s="10" t="n">
        <x:v>1</x:v>
      </x:c>
      <x:c r="AN5" s="10" t="n">
        <x:v>0</x:v>
      </x:c>
      <x:c r="AO5" s="10" t="n">
        <x:v>1</x:v>
      </x:c>
      <x:c r="AP5" s="10" t="n">
        <x:v>1</x:v>
      </x:c>
      <x:c r="AQ5" s="10" t="n">
        <x:v>1</x:v>
      </x:c>
      <x:c r="AR5" s="10" t="n">
        <x:v>1</x:v>
      </x:c>
      <x:c r="AS5" s="10" t="n">
        <x:v>0</x:v>
      </x:c>
      <x:c r="AT5" s="10" t="n">
        <x:v>1</x:v>
      </x:c>
      <x:c r="AU5" s="10" t="n">
        <x:v>0</x:v>
      </x:c>
      <x:c r="AV5" s="10" t="n">
        <x:v>1</x:v>
      </x:c>
      <x:c r="AW5" s="10" t="n">
        <x:v>0</x:v>
      </x:c>
      <x:c r="AX5" s="10" t="n">
        <x:v>0</x:v>
      </x:c>
      <x:c r="AY5" s="10" t="n">
        <x:v>0</x:v>
      </x:c>
      <x:c r="AZ5" s="10" t="n">
        <x:v>1</x:v>
      </x:c>
      <x:c r="BA5" s="10" t="n">
        <x:v>1</x:v>
      </x:c>
      <x:c r="BB5" s="10" t="n">
        <x:v>1</x:v>
      </x:c>
      <x:c r="BC5" s="10" t="n">
        <x:v>0</x:v>
      </x:c>
      <x:c r="BD5" s="10" t="str">
        <x:v>partial</x:v>
      </x:c>
      <x:c r="BE5" s="10" t="n">
        <x:v>1</x:v>
      </x:c>
      <x:c r="BF5" s="10" t="n">
        <x:v>1</x:v>
      </x:c>
      <x:c r="BG5" s="10" t="n">
        <x:v>0</x:v>
      </x:c>
      <x:c r="BH5" s="10" t="n">
        <x:v>1</x:v>
      </x:c>
      <x:c r="BI5" s="10" t="n">
        <x:v>0</x:v>
      </x:c>
      <x:c r="BJ5" s="10" t="n">
        <x:v>1</x:v>
      </x:c>
      <x:c r="BK5" s="10" t="n">
        <x:v>0</x:v>
      </x:c>
      <x:c r="BL5" s="10" t="n">
        <x:v>0</x:v>
      </x:c>
      <x:c r="BM5" s="10" t="str">
        <x:v>partial</x:v>
      </x:c>
      <x:c r="BN5" s="10" t="n">
        <x:v>0</x:v>
      </x:c>
      <x:c r="BO5" s="10" t="n">
        <x:v>0</x:v>
      </x:c>
      <x:c r="BP5" s="10" t="n">
        <x:v>0</x:v>
      </x:c>
      <x:c r="CI5" s="17" t="str">
        <x:v>yes</x:v>
      </x:c>
      <x:c r="CJ5" s="17" t="str">
        <x:v>biblical_anchor</x:v>
      </x:c>
      <x:c r="CK5" s="17" t="n">
        <x:f>SUM(COUNTIF(W5,1),COUNTIF(AA5,1),COUNTIF(AC5,1),COUNTIF(AG5,1),COUNTIF(AH5,1),COUNTIF(AI5,1),COUNTIF(AK5,1),COUNTIF(AL5,1),COUNTIF(AM5,1),COUNTIF(AO5,1),COUNTIF(AP5,1),COUNTIF(AQ5,1),COUNTIF(AV5,1),COUNTIF(AZ5,1),COUNTIF(BA5,1),COUNTIF(BB5,1),COUNTIF(BE5,1),COUNTIF(BF5,1),COUNTIF(BG5,1),COUNTIF(BH5,1),COUNTIF(BI5,1),COUNTIF(BJ5,1),COUNTIF(BK5,1))+0.5*SUM(COUNTIF(W5,"partial"),COUNTIF(AA5,"partial"),COUNTIF(AC5,"partial"),COUNTIF(AG5,"partial"),COUNTIF(AH5,"partial"),COUNTIF(AI5,"partial"),COUNTIF(AK5,"partial"),COUNTIF(AL5,"partial"),COUNTIF(AM5,"partial"),COUNTIF(AO5,"partial"),COUNTIF(AP5,"partial"),COUNTIF(AQ5,"partial"),COUNTIF(AV5,"partial"),COUNTIF(AZ5,"partial"),COUNTIF(BA5,"partial"),COUNTIF(BB5,"partial"),COUNTIF(BE5,"partial"),COUNTIF(BF5,"partial"),COUNTIF(BG5,"partial"),COUNTIF(BH5,"partial"),COUNTIF(BI5,"partial"),COUNTIF(BJ5,"partial"),COUNTIF(BK5,"partial"))+0.5*SUM(COUNTIF(W5,"ambiguous"),COUNTIF(AA5,"ambiguous"),COUNTIF(AC5,"ambiguous"),COUNTIF(AG5,"ambiguous"),COUNTIF(AH5,"ambiguous"),COUNTIF(AI5,"ambiguous"),COUNTIF(AK5,"ambiguous"),COUNTIF(AL5,"ambiguous"),COUNTIF(AM5,"ambiguous"),COUNTIF(AO5,"ambiguous"),COUNTIF(AP5,"ambiguous"),COUNTIF(AQ5,"ambiguous"),COUNTIF(AV5,"ambiguous"),COUNTIF(AZ5,"ambiguous"),COUNTIF(BA5,"ambiguous"),COUNTIF(BB5,"ambiguous"),COUNTIF(BE5,"ambiguous"),COUNTIF(BF5,"ambiguous"),COUNTIF(BG5,"ambiguous"),COUNTIF(BH5,"ambiguous"),COUNTIF(BI5,"ambiguous"),COUNTIF(BJ5,"ambiguous"),COUNTIF(BK5,"ambiguous"))</x:f>
        <x:v>19</x:v>
      </x:c>
      <x:c r="CL5" s="17" t="n">
        <x:f>COUNTIF(M5:BH5,1)+0.5*COUNTIF(M5:BH5,"partial")+0.5*COUNTIF(M5:BH5,"ambiguous")</x:f>
        <x:v>25.5</x:v>
      </x:c>
      <x:c r="CM5" s="17" t="str">
        <x:v>core_heatmap</x:v>
      </x:c>
      <x:c r="CN5" s="17" t="str">
        <x:v>Core anchor row for first classic survivor-flood heatmap.</x:v>
      </x:c>
    </x:row>
    <x:row r="6" ht="92" customHeight="1">
      <x:c r="A6" s="10" t="str">
        <x:v>FM-002</x:v>
      </x:c>
      <x:c r="B6" s="10" t="str">
        <x:v>Gilgamesh Tablet XI / Utanapishtim</x:v>
      </x:c>
      <x:c r="C6" s="10" t="str">
        <x:v>Mesopotamian / Babylonian-Akkadian</x:v>
      </x:c>
      <x:c r="D6" s="10" t="str">
        <x:v>Mesopotamia</x:v>
      </x:c>
      <x:c r="E6" s="10" t="str">
        <x:v>Epic of Gilgamesh, Tablet XI</x:v>
      </x:c>
      <x:c r="F6" s="10" t="str">
        <x:v>Epic / mythic narrative</x:v>
      </x:c>
      <x:c r="G6" s="10" t="str">
        <x:v>secret-warning ark flood</x:v>
      </x:c>
      <x:c r="H6" s="10" t="str">
        <x:v>high</x:v>
      </x:c>
      <x:c r="I6" s="10" t="str">
        <x:v>Cause is less explicit in Tablet XI; strong parallel cluster with Genesis.</x:v>
      </x:c>
      <x:c r="J6" s="10" t="str">
        <x:v>Ea secretly warns Utanapishtim through a reed wall; he builds a technical pitch/bitumen boat, saves kin, animals, craftsmen, and wealth, survives cosmic storm, lands on Mt. Nimush, sends birds, sacrifices, and receives godlike immortality.</x:v>
      </x:c>
      <x:c r="K6" s="12" t="n">
        <x:f>COUNTIF(M6:BP6,1)+0.5*COUNTIF(M6:BP6,"partial")</x:f>
        <x:v>26</x:v>
      </x:c>
      <x:c r="L6" s="12" t="n">
        <x:f>COUNTIF(M6:BP6,"partial")+COUNTIF(M6:BP6,"unclear")+COUNTIF(M6:BP6,"ambiguous")+COUNTIF(M6:BP6,"n/a")</x:f>
        <x:v>7</x:v>
      </x:c>
      <x:c r="M6" s="10" t="n">
        <x:v>0</x:v>
      </x:c>
      <x:c r="N6" s="10" t="str">
        <x:v>unclear</x:v>
      </x:c>
      <x:c r="O6" s="10" t="n">
        <x:v>0</x:v>
      </x:c>
      <x:c r="P6" s="10" t="n">
        <x:v>0</x:v>
      </x:c>
      <x:c r="Q6" s="10" t="n">
        <x:v>0</x:v>
      </x:c>
      <x:c r="R6" s="10" t="n">
        <x:v>1</x:v>
      </x:c>
      <x:c r="S6" s="10" t="n">
        <x:v>1</x:v>
      </x:c>
      <x:c r="T6" s="10" t="n">
        <x:v>0</x:v>
      </x:c>
      <x:c r="U6" s="10" t="n">
        <x:v>0</x:v>
      </x:c>
      <x:c r="V6" s="10" t="n">
        <x:v>0</x:v>
      </x:c>
      <x:c r="W6" s="10" t="n">
        <x:v>1</x:v>
      </x:c>
      <x:c r="X6" s="10" t="str">
        <x:v>unclear</x:v>
      </x:c>
      <x:c r="Y6" s="10" t="n">
        <x:v>0</x:v>
      </x:c>
      <x:c r="Z6" s="10" t="str">
        <x:v>partial</x:v>
      </x:c>
      <x:c r="AA6" s="10" t="n">
        <x:v>1</x:v>
      </x:c>
      <x:c r="AB6" s="10" t="n">
        <x:v>0</x:v>
      </x:c>
      <x:c r="AC6" s="10" t="n">
        <x:v>1</x:v>
      </x:c>
      <x:c r="AD6" s="10" t="n">
        <x:v>1</x:v>
      </x:c>
      <x:c r="AE6" s="10" t="n">
        <x:v>0</x:v>
      </x:c>
      <x:c r="AF6" s="10" t="n">
        <x:v>1</x:v>
      </x:c>
      <x:c r="AG6" s="10" t="n">
        <x:v>1</x:v>
      </x:c>
      <x:c r="AH6" s="10" t="n">
        <x:v>0</x:v>
      </x:c>
      <x:c r="AI6" s="10" t="n">
        <x:v>1</x:v>
      </x:c>
      <x:c r="AJ6" s="10" t="n">
        <x:v>1</x:v>
      </x:c>
      <x:c r="AK6" s="10" t="n">
        <x:v>1</x:v>
      </x:c>
      <x:c r="AL6" s="10" t="str">
        <x:v>unclear</x:v>
      </x:c>
      <x:c r="AM6" s="10" t="n">
        <x:v>1</x:v>
      </x:c>
      <x:c r="AN6" s="10" t="n">
        <x:v>1</x:v>
      </x:c>
      <x:c r="AO6" s="10" t="n">
        <x:v>1</x:v>
      </x:c>
      <x:c r="AP6" s="10" t="n">
        <x:v>1</x:v>
      </x:c>
      <x:c r="AQ6" s="10" t="n">
        <x:v>1</x:v>
      </x:c>
      <x:c r="AR6" s="10" t="str">
        <x:v>partial</x:v>
      </x:c>
      <x:c r="AS6" s="10" t="n">
        <x:v>0</x:v>
      </x:c>
      <x:c r="AT6" s="10" t="n">
        <x:v>1</x:v>
      </x:c>
      <x:c r="AU6" s="10" t="n">
        <x:v>0</x:v>
      </x:c>
      <x:c r="AV6" s="10" t="n">
        <x:v>1</x:v>
      </x:c>
      <x:c r="AW6" s="10" t="n">
        <x:v>0</x:v>
      </x:c>
      <x:c r="AX6" s="10" t="n">
        <x:v>0</x:v>
      </x:c>
      <x:c r="AY6" s="10" t="n">
        <x:v>0</x:v>
      </x:c>
      <x:c r="AZ6" s="10" t="n">
        <x:v>1</x:v>
      </x:c>
      <x:c r="BA6" s="10" t="n">
        <x:v>1</x:v>
      </x:c>
      <x:c r="BB6" s="10" t="n">
        <x:v>1</x:v>
      </x:c>
      <x:c r="BC6" s="10" t="n">
        <x:v>0</x:v>
      </x:c>
      <x:c r="BD6" s="10" t="n">
        <x:v>1</x:v>
      </x:c>
      <x:c r="BE6" s="10" t="n">
        <x:v>1</x:v>
      </x:c>
      <x:c r="BF6" s="10" t="n">
        <x:v>0</x:v>
      </x:c>
      <x:c r="BG6" s="10" t="n">
        <x:v>1</x:v>
      </x:c>
      <x:c r="BH6" s="10" t="n">
        <x:v>0</x:v>
      </x:c>
      <x:c r="BI6" s="10" t="n">
        <x:v>0</x:v>
      </x:c>
      <x:c r="BJ6" s="10" t="str">
        <x:v>partial</x:v>
      </x:c>
      <x:c r="BK6" s="10" t="n">
        <x:v>0</x:v>
      </x:c>
      <x:c r="BL6" s="10" t="n">
        <x:v>0</x:v>
      </x:c>
      <x:c r="BM6" s="10" t="str">
        <x:v>partial</x:v>
      </x:c>
      <x:c r="BN6" s="10" t="n">
        <x:v>0</x:v>
      </x:c>
      <x:c r="BO6" s="10" t="n">
        <x:v>0</x:v>
      </x:c>
      <x:c r="BP6" s="10" t="n">
        <x:v>0</x:v>
      </x:c>
      <x:c r="CI6" s="17" t="str">
        <x:v>yes</x:v>
      </x:c>
      <x:c r="CJ6" s="17" t="str">
        <x:v>mesopotamian_cluster</x:v>
      </x:c>
      <x:c r="CK6" s="17" t="n">
        <x:f>SUM(COUNTIF(W6,1),COUNTIF(AA6,1),COUNTIF(AC6,1),COUNTIF(AG6,1),COUNTIF(AH6,1),COUNTIF(AI6,1),COUNTIF(AK6,1),COUNTIF(AL6,1),COUNTIF(AM6,1),COUNTIF(AO6,1),COUNTIF(AP6,1),COUNTIF(AQ6,1),COUNTIF(AV6,1),COUNTIF(AZ6,1),COUNTIF(BA6,1),COUNTIF(BB6,1),COUNTIF(BE6,1),COUNTIF(BF6,1),COUNTIF(BG6,1),COUNTIF(BH6,1),COUNTIF(BI6,1),COUNTIF(BJ6,1),COUNTIF(BK6,1))+0.5*SUM(COUNTIF(W6,"partial"),COUNTIF(AA6,"partial"),COUNTIF(AC6,"partial"),COUNTIF(AG6,"partial"),COUNTIF(AH6,"partial"),COUNTIF(AI6,"partial"),COUNTIF(AK6,"partial"),COUNTIF(AL6,"partial"),COUNTIF(AM6,"partial"),COUNTIF(AO6,"partial"),COUNTIF(AP6,"partial"),COUNTIF(AQ6,"partial"),COUNTIF(AV6,"partial"),COUNTIF(AZ6,"partial"),COUNTIF(BA6,"partial"),COUNTIF(BB6,"partial"),COUNTIF(BE6,"partial"),COUNTIF(BF6,"partial"),COUNTIF(BG6,"partial"),COUNTIF(BH6,"partial"),COUNTIF(BI6,"partial"),COUNTIF(BJ6,"partial"),COUNTIF(BK6,"partial"))+0.5*SUM(COUNTIF(W6,"ambiguous"),COUNTIF(AA6,"ambiguous"),COUNTIF(AC6,"ambiguous"),COUNTIF(AG6,"ambiguous"),COUNTIF(AH6,"ambiguous"),COUNTIF(AI6,"ambiguous"),COUNTIF(AK6,"ambiguous"),COUNTIF(AL6,"ambiguous"),COUNTIF(AM6,"ambiguous"),COUNTIF(AO6,"ambiguous"),COUNTIF(AP6,"ambiguous"),COUNTIF(AQ6,"ambiguous"),COUNTIF(AV6,"ambiguous"),COUNTIF(AZ6,"ambiguous"),COUNTIF(BA6,"ambiguous"),COUNTIF(BB6,"ambiguous"),COUNTIF(BE6,"ambiguous"),COUNTIF(BF6,"ambiguous"),COUNTIF(BG6,"ambiguous"),COUNTIF(BH6,"ambiguous"),COUNTIF(BI6,"ambiguous"),COUNTIF(BJ6,"ambiguous"),COUNTIF(BK6,"ambiguous"))</x:f>
        <x:v>16.5</x:v>
      </x:c>
      <x:c r="CL6" s="17" t="n">
        <x:f>COUNTIF(M6:BH6,1)+0.5*COUNTIF(M6:BH6,"partial")+0.5*COUNTIF(M6:BH6,"ambiguous")</x:f>
        <x:v>25</x:v>
      </x:c>
      <x:c r="CM6" s="17" t="str">
        <x:v>core_heatmap</x:v>
      </x:c>
      <x:c r="CN6" s="17" t="str">
        <x:v>Core Mesopotamian comparison row.</x:v>
      </x:c>
    </x:row>
    <x:row r="7" ht="92" customHeight="1">
      <x:c r="A7" s="10" t="str">
        <x:v>FM-003</x:v>
      </x:c>
      <x:c r="B7" s="10" t="str">
        <x:v>Atrahasis Flood</x:v>
      </x:c>
      <x:c r="C7" s="10" t="str">
        <x:v>Mesopotamian / Akkadian-Babylonian</x:v>
      </x:c>
      <x:c r="D7" s="10" t="str">
        <x:v>Mesopotamia</x:v>
      </x:c>
      <x:c r="E7" s="10" t="str">
        <x:v>Atrahasis flood account</x:v>
      </x:c>
      <x:c r="F7" s="10" t="str">
        <x:v>Epic / mythic narrative</x:v>
      </x:c>
      <x:c r="G7" s="10" t="str">
        <x:v>noise-cause survivor flood</x:v>
      </x:c>
      <x:c r="H7" s="10" t="str">
        <x:v>medium</x:v>
      </x:c>
      <x:c r="I7" s="10" t="str">
        <x:v>Fragmentary sections; several aftermath details coded cautiously.</x:v>
      </x:c>
      <x:c r="J7" s="10" t="str">
        <x:v>Humans are created to serve gods; population/noise disturbs the gods. Enki secretly warns Atrahasis through dream/reed wall, boat is built and sealed with pitch, family and animals survive, gods hunger without offerings, and post-flood order imposes death and fertility limits.</x:v>
      </x:c>
      <x:c r="K7" s="12" t="n">
        <x:f>COUNTIF(M7:BP7,1)+0.5*COUNTIF(M7:BP7,"partial")</x:f>
        <x:v>18.5</x:v>
      </x:c>
      <x:c r="L7" s="12" t="n">
        <x:f>COUNTIF(M7:BP7,"partial")+COUNTIF(M7:BP7,"unclear")+COUNTIF(M7:BP7,"ambiguous")+COUNTIF(M7:BP7,"n/a")</x:f>
        <x:v>10</x:v>
      </x:c>
      <x:c r="M7" s="10" t="n">
        <x:v>0</x:v>
      </x:c>
      <x:c r="N7" s="10" t="n">
        <x:v>1</x:v>
      </x:c>
      <x:c r="O7" s="10" t="n">
        <x:v>0</x:v>
      </x:c>
      <x:c r="P7" s="10" t="n">
        <x:v>0</x:v>
      </x:c>
      <x:c r="Q7" s="10" t="n">
        <x:v>0</x:v>
      </x:c>
      <x:c r="R7" s="10" t="n">
        <x:v>1</x:v>
      </x:c>
      <x:c r="S7" s="10" t="n">
        <x:v>1</x:v>
      </x:c>
      <x:c r="T7" s="10" t="n">
        <x:v>0</x:v>
      </x:c>
      <x:c r="U7" s="10" t="n">
        <x:v>0</x:v>
      </x:c>
      <x:c r="V7" s="10" t="n">
        <x:v>0</x:v>
      </x:c>
      <x:c r="W7" s="10" t="n">
        <x:v>1</x:v>
      </x:c>
      <x:c r="X7" s="10" t="str">
        <x:v>unclear</x:v>
      </x:c>
      <x:c r="Y7" s="10" t="n">
        <x:v>0</x:v>
      </x:c>
      <x:c r="Z7" s="10" t="n">
        <x:v>0</x:v>
      </x:c>
      <x:c r="AA7" s="10" t="n">
        <x:v>1</x:v>
      </x:c>
      <x:c r="AB7" s="10" t="n">
        <x:v>0</x:v>
      </x:c>
      <x:c r="AC7" s="10" t="n">
        <x:v>1</x:v>
      </x:c>
      <x:c r="AD7" s="10" t="n">
        <x:v>1</x:v>
      </x:c>
      <x:c r="AE7" s="10" t="n">
        <x:v>1</x:v>
      </x:c>
      <x:c r="AF7" s="10" t="n">
        <x:v>0</x:v>
      </x:c>
      <x:c r="AG7" s="10" t="n">
        <x:v>1</x:v>
      </x:c>
      <x:c r="AH7" s="10" t="n">
        <x:v>0</x:v>
      </x:c>
      <x:c r="AI7" s="10" t="n">
        <x:v>1</x:v>
      </x:c>
      <x:c r="AJ7" s="10" t="str">
        <x:v>unclear</x:v>
      </x:c>
      <x:c r="AK7" s="10" t="n">
        <x:v>1</x:v>
      </x:c>
      <x:c r="AL7" s="10" t="str">
        <x:v>unclear</x:v>
      </x:c>
      <x:c r="AM7" s="10" t="n">
        <x:v>1</x:v>
      </x:c>
      <x:c r="AN7" s="10" t="str">
        <x:v>unclear</x:v>
      </x:c>
      <x:c r="AO7" s="10" t="str">
        <x:v>unclear</x:v>
      </x:c>
      <x:c r="AP7" s="10" t="str">
        <x:v>unclear</x:v>
      </x:c>
      <x:c r="AQ7" s="10" t="n">
        <x:v>1</x:v>
      </x:c>
      <x:c r="AR7" s="10" t="n">
        <x:v>0</x:v>
      </x:c>
      <x:c r="AS7" s="10" t="n">
        <x:v>0</x:v>
      </x:c>
      <x:c r="AT7" s="10" t="n">
        <x:v>1</x:v>
      </x:c>
      <x:c r="AU7" s="10" t="n">
        <x:v>0</x:v>
      </x:c>
      <x:c r="AV7" s="10" t="n">
        <x:v>1</x:v>
      </x:c>
      <x:c r="AW7" s="10" t="n">
        <x:v>0</x:v>
      </x:c>
      <x:c r="AX7" s="10" t="n">
        <x:v>0</x:v>
      </x:c>
      <x:c r="AY7" s="10" t="n">
        <x:v>0</x:v>
      </x:c>
      <x:c r="AZ7" s="10" t="str">
        <x:v>unclear</x:v>
      </x:c>
      <x:c r="BA7" s="10" t="str">
        <x:v>unclear</x:v>
      </x:c>
      <x:c r="BB7" s="10" t="str">
        <x:v>unclear</x:v>
      </x:c>
      <x:c r="BC7" s="10" t="n">
        <x:v>0</x:v>
      </x:c>
      <x:c r="BD7" s="10" t="n">
        <x:v>1</x:v>
      </x:c>
      <x:c r="BE7" s="10" t="n">
        <x:v>0</x:v>
      </x:c>
      <x:c r="BF7" s="10" t="n">
        <x:v>0</x:v>
      </x:c>
      <x:c r="BG7" s="10" t="n">
        <x:v>0</x:v>
      </x:c>
      <x:c r="BH7" s="10" t="n">
        <x:v>1</x:v>
      </x:c>
      <x:c r="BI7" s="10" t="n">
        <x:v>1</x:v>
      </x:c>
      <x:c r="BJ7" s="10" t="str">
        <x:v>partial</x:v>
      </x:c>
      <x:c r="BK7" s="10" t="n">
        <x:v>0</x:v>
      </x:c>
      <x:c r="BL7" s="10" t="n">
        <x:v>0</x:v>
      </x:c>
      <x:c r="BM7" s="10" t="n">
        <x:v>0</x:v>
      </x:c>
      <x:c r="BN7" s="10" t="n">
        <x:v>0</x:v>
      </x:c>
      <x:c r="BO7" s="10" t="n">
        <x:v>0</x:v>
      </x:c>
      <x:c r="BP7" s="10" t="n">
        <x:v>0</x:v>
      </x:c>
      <x:c r="CI7" s="17" t="str">
        <x:v>yes</x:v>
      </x:c>
      <x:c r="CJ7" s="17" t="str">
        <x:v>mesopotamian_cluster</x:v>
      </x:c>
      <x:c r="CK7" s="17" t="n">
        <x:f>SUM(COUNTIF(W7,1),COUNTIF(AA7,1),COUNTIF(AC7,1),COUNTIF(AG7,1),COUNTIF(AH7,1),COUNTIF(AI7,1),COUNTIF(AK7,1),COUNTIF(AL7,1),COUNTIF(AM7,1),COUNTIF(AO7,1),COUNTIF(AP7,1),COUNTIF(AQ7,1),COUNTIF(AV7,1),COUNTIF(AZ7,1),COUNTIF(BA7,1),COUNTIF(BB7,1),COUNTIF(BE7,1),COUNTIF(BF7,1),COUNTIF(BG7,1),COUNTIF(BH7,1),COUNTIF(BI7,1),COUNTIF(BJ7,1),COUNTIF(BK7,1))+0.5*SUM(COUNTIF(W7,"partial"),COUNTIF(AA7,"partial"),COUNTIF(AC7,"partial"),COUNTIF(AG7,"partial"),COUNTIF(AH7,"partial"),COUNTIF(AI7,"partial"),COUNTIF(AK7,"partial"),COUNTIF(AL7,"partial"),COUNTIF(AM7,"partial"),COUNTIF(AO7,"partial"),COUNTIF(AP7,"partial"),COUNTIF(AQ7,"partial"),COUNTIF(AV7,"partial"),COUNTIF(AZ7,"partial"),COUNTIF(BA7,"partial"),COUNTIF(BB7,"partial"),COUNTIF(BE7,"partial"),COUNTIF(BF7,"partial"),COUNTIF(BG7,"partial"),COUNTIF(BH7,"partial"),COUNTIF(BI7,"partial"),COUNTIF(BJ7,"partial"),COUNTIF(BK7,"partial"))+0.5*SUM(COUNTIF(W7,"ambiguous"),COUNTIF(AA7,"ambiguous"),COUNTIF(AC7,"ambiguous"),COUNTIF(AG7,"ambiguous"),COUNTIF(AH7,"ambiguous"),COUNTIF(AI7,"ambiguous"),COUNTIF(AK7,"ambiguous"),COUNTIF(AL7,"ambiguous"),COUNTIF(AM7,"ambiguous"),COUNTIF(AO7,"ambiguous"),COUNTIF(AP7,"ambiguous"),COUNTIF(AQ7,"ambiguous"),COUNTIF(AV7,"ambiguous"),COUNTIF(AZ7,"ambiguous"),COUNTIF(BA7,"ambiguous"),COUNTIF(BB7,"ambiguous"),COUNTIF(BE7,"ambiguous"),COUNTIF(BF7,"ambiguous"),COUNTIF(BG7,"ambiguous"),COUNTIF(BH7,"ambiguous"),COUNTIF(BI7,"ambiguous"),COUNTIF(BJ7,"ambiguous"),COUNTIF(BK7,"ambiguous"))</x:f>
        <x:v>11.5</x:v>
      </x:c>
      <x:c r="CL7" s="17" t="n">
        <x:f>COUNTIF(M7:BH7,1)+0.5*COUNTIF(M7:BH7,"partial")+0.5*COUNTIF(M7:BH7,"ambiguous")</x:f>
        <x:v>17</x:v>
      </x:c>
      <x:c r="CM7" s="17" t="str">
        <x:v>core_heatmap</x:v>
      </x:c>
      <x:c r="CN7" s="17" t="str">
        <x:v>Core Mesopotamian comparison row; fragmentary, but central to noise-cause cluster.</x:v>
      </x:c>
    </x:row>
    <x:row r="8" ht="92" customHeight="1">
      <x:c r="A8" s="10" t="str">
        <x:v>FM-004</x:v>
      </x:c>
      <x:c r="B8" s="10" t="str">
        <x:v>Eridu Genesis / Ziusudra</x:v>
      </x:c>
      <x:c r="C8" s="10" t="str">
        <x:v>Sumerian / Mesopotamian</x:v>
      </x:c>
      <x:c r="D8" s="10" t="str">
        <x:v>Mesopotamia</x:v>
      </x:c>
      <x:c r="E8" s="10" t="str">
        <x:v>Eridu Genesis / Ziusudra flood account</x:v>
      </x:c>
      <x:c r="F8" s="10" t="str">
        <x:v>Sumerian mythic narrative</x:v>
      </x:c>
      <x:c r="G8" s="10" t="str">
        <x:v>king-priest secret-warning flood</x:v>
      </x:c>
      <x:c r="H8" s="10" t="str">
        <x:v>medium</x:v>
      </x:c>
      <x:c r="I8" s="10" t="str">
        <x:v>Significant lacunae; boat details and some aftermath motifs are fragmentary.</x:v>
      </x:c>
      <x:c r="J8" s="10" t="str">
        <x:v>Ziusudra is a pious king-priest/seer warned indirectly by Enki through a wall. The account includes divine council decision, noise/disturbance cause, boat survival, animal preservation, seven-day flood, sacrifice, Enlil anger, Enki explanation, and godlike life in Dilmun.</x:v>
      </x:c>
      <x:c r="K8" s="12" t="n">
        <x:f>COUNTIF(M8:BP8,1)+0.5*COUNTIF(M8:BP8,"partial")</x:f>
        <x:v>20</x:v>
      </x:c>
      <x:c r="L8" s="12" t="n">
        <x:f>COUNTIF(M8:BP8,"partial")+COUNTIF(M8:BP8,"unclear")+COUNTIF(M8:BP8,"ambiguous")+COUNTIF(M8:BP8,"n/a")</x:f>
        <x:v>12</x:v>
      </x:c>
      <x:c r="M8" s="10" t="n">
        <x:v>0</x:v>
      </x:c>
      <x:c r="N8" s="10" t="n">
        <x:v>1</x:v>
      </x:c>
      <x:c r="O8" s="10" t="n">
        <x:v>0</x:v>
      </x:c>
      <x:c r="P8" s="10" t="n">
        <x:v>0</x:v>
      </x:c>
      <x:c r="Q8" s="10" t="n">
        <x:v>0</x:v>
      </x:c>
      <x:c r="R8" s="10" t="n">
        <x:v>1</x:v>
      </x:c>
      <x:c r="S8" s="10" t="n">
        <x:v>1</x:v>
      </x:c>
      <x:c r="T8" s="10" t="n">
        <x:v>0</x:v>
      </x:c>
      <x:c r="U8" s="10" t="n">
        <x:v>0</x:v>
      </x:c>
      <x:c r="V8" s="10" t="n">
        <x:v>0</x:v>
      </x:c>
      <x:c r="W8" s="10" t="n">
        <x:v>1</x:v>
      </x:c>
      <x:c r="X8" s="10" t="n">
        <x:v>1</x:v>
      </x:c>
      <x:c r="Y8" s="10" t="n">
        <x:v>1</x:v>
      </x:c>
      <x:c r="Z8" s="10" t="n">
        <x:v>0</x:v>
      </x:c>
      <x:c r="AA8" s="10" t="n">
        <x:v>0</x:v>
      </x:c>
      <x:c r="AB8" s="10" t="n">
        <x:v>0</x:v>
      </x:c>
      <x:c r="AC8" s="10" t="n">
        <x:v>1</x:v>
      </x:c>
      <x:c r="AD8" s="10" t="n">
        <x:v>1</x:v>
      </x:c>
      <x:c r="AE8" s="10" t="n">
        <x:v>0</x:v>
      </x:c>
      <x:c r="AF8" s="10" t="n">
        <x:v>0</x:v>
      </x:c>
      <x:c r="AG8" s="10" t="n">
        <x:v>1</x:v>
      </x:c>
      <x:c r="AH8" s="10" t="n">
        <x:v>0</x:v>
      </x:c>
      <x:c r="AI8" s="10" t="str">
        <x:v>unclear</x:v>
      </x:c>
      <x:c r="AJ8" s="10" t="str">
        <x:v>unclear</x:v>
      </x:c>
      <x:c r="AK8" s="10" t="str">
        <x:v>unclear</x:v>
      </x:c>
      <x:c r="AL8" s="10" t="str">
        <x:v>unclear</x:v>
      </x:c>
      <x:c r="AM8" s="10" t="n">
        <x:v>1</x:v>
      </x:c>
      <x:c r="AN8" s="10" t="str">
        <x:v>partial</x:v>
      </x:c>
      <x:c r="AO8" s="10" t="str">
        <x:v>partial</x:v>
      </x:c>
      <x:c r="AP8" s="10" t="str">
        <x:v>partial</x:v>
      </x:c>
      <x:c r="AQ8" s="10" t="n">
        <x:v>1</x:v>
      </x:c>
      <x:c r="AR8" s="10" t="n">
        <x:v>0</x:v>
      </x:c>
      <x:c r="AS8" s="10" t="n">
        <x:v>0</x:v>
      </x:c>
      <x:c r="AT8" s="10" t="n">
        <x:v>1</x:v>
      </x:c>
      <x:c r="AU8" s="10" t="str">
        <x:v>partial</x:v>
      </x:c>
      <x:c r="AV8" s="10" t="n">
        <x:v>1</x:v>
      </x:c>
      <x:c r="AW8" s="10" t="n">
        <x:v>0</x:v>
      </x:c>
      <x:c r="AX8" s="10" t="n">
        <x:v>0</x:v>
      </x:c>
      <x:c r="AY8" s="10" t="n">
        <x:v>0</x:v>
      </x:c>
      <x:c r="AZ8" s="10" t="n">
        <x:v>0</x:v>
      </x:c>
      <x:c r="BA8" s="10" t="n">
        <x:v>1</x:v>
      </x:c>
      <x:c r="BB8" s="10" t="str">
        <x:v>unclear</x:v>
      </x:c>
      <x:c r="BC8" s="10" t="n">
        <x:v>0</x:v>
      </x:c>
      <x:c r="BD8" s="10" t="n">
        <x:v>1</x:v>
      </x:c>
      <x:c r="BE8" s="10" t="n">
        <x:v>1</x:v>
      </x:c>
      <x:c r="BF8" s="10" t="n">
        <x:v>0</x:v>
      </x:c>
      <x:c r="BG8" s="10" t="n">
        <x:v>1</x:v>
      </x:c>
      <x:c r="BH8" s="10" t="str">
        <x:v>unclear</x:v>
      </x:c>
      <x:c r="BI8" s="10" t="n">
        <x:v>0</x:v>
      </x:c>
      <x:c r="BJ8" s="10" t="str">
        <x:v>partial</x:v>
      </x:c>
      <x:c r="BK8" s="10" t="n">
        <x:v>0</x:v>
      </x:c>
      <x:c r="BL8" s="10" t="n">
        <x:v>0</x:v>
      </x:c>
      <x:c r="BM8" s="10" t="str">
        <x:v>partial</x:v>
      </x:c>
      <x:c r="BN8" s="10" t="n">
        <x:v>0</x:v>
      </x:c>
      <x:c r="BO8" s="10" t="n">
        <x:v>0</x:v>
      </x:c>
      <x:c r="BP8" s="10" t="n">
        <x:v>0</x:v>
      </x:c>
      <x:c r="CI8" s="17" t="str">
        <x:v>yes</x:v>
      </x:c>
      <x:c r="CJ8" s="17" t="str">
        <x:v>mesopotamian_cluster</x:v>
      </x:c>
      <x:c r="CK8" s="17" t="n">
        <x:f>SUM(COUNTIF(W8,1),COUNTIF(AA8,1),COUNTIF(AC8,1),COUNTIF(AG8,1),COUNTIF(AH8,1),COUNTIF(AI8,1),COUNTIF(AK8,1),COUNTIF(AL8,1),COUNTIF(AM8,1),COUNTIF(AO8,1),COUNTIF(AP8,1),COUNTIF(AQ8,1),COUNTIF(AV8,1),COUNTIF(AZ8,1),COUNTIF(BA8,1),COUNTIF(BB8,1),COUNTIF(BE8,1),COUNTIF(BF8,1),COUNTIF(BG8,1),COUNTIF(BH8,1),COUNTIF(BI8,1),COUNTIF(BJ8,1),COUNTIF(BK8,1))+0.5*SUM(COUNTIF(W8,"partial"),COUNTIF(AA8,"partial"),COUNTIF(AC8,"partial"),COUNTIF(AG8,"partial"),COUNTIF(AH8,"partial"),COUNTIF(AI8,"partial"),COUNTIF(AK8,"partial"),COUNTIF(AL8,"partial"),COUNTIF(AM8,"partial"),COUNTIF(AO8,"partial"),COUNTIF(AP8,"partial"),COUNTIF(AQ8,"partial"),COUNTIF(AV8,"partial"),COUNTIF(AZ8,"partial"),COUNTIF(BA8,"partial"),COUNTIF(BB8,"partial"),COUNTIF(BE8,"partial"),COUNTIF(BF8,"partial"),COUNTIF(BG8,"partial"),COUNTIF(BH8,"partial"),COUNTIF(BI8,"partial"),COUNTIF(BJ8,"partial"),COUNTIF(BK8,"partial"))+0.5*SUM(COUNTIF(W8,"ambiguous"),COUNTIF(AA8,"ambiguous"),COUNTIF(AC8,"ambiguous"),COUNTIF(AG8,"ambiguous"),COUNTIF(AH8,"ambiguous"),COUNTIF(AI8,"ambiguous"),COUNTIF(AK8,"ambiguous"),COUNTIF(AL8,"ambiguous"),COUNTIF(AM8,"ambiguous"),COUNTIF(AO8,"ambiguous"),COUNTIF(AP8,"ambiguous"),COUNTIF(AQ8,"ambiguous"),COUNTIF(AV8,"ambiguous"),COUNTIF(AZ8,"ambiguous"),COUNTIF(BA8,"ambiguous"),COUNTIF(BB8,"ambiguous"),COUNTIF(BE8,"ambiguous"),COUNTIF(BF8,"ambiguous"),COUNTIF(BG8,"ambiguous"),COUNTIF(BH8,"ambiguous"),COUNTIF(BI8,"ambiguous"),COUNTIF(BJ8,"ambiguous"),COUNTIF(BK8,"ambiguous"))</x:f>
        <x:v>10.5</x:v>
      </x:c>
      <x:c r="CL8" s="17" t="n">
        <x:f>COUNTIF(M8:BH8,1)+0.5*COUNTIF(M8:BH8,"partial")+0.5*COUNTIF(M8:BH8,"ambiguous")</x:f>
        <x:v>19</x:v>
      </x:c>
      <x:c r="CM8" s="17" t="str">
        <x:v>core_heatmap</x:v>
      </x:c>
      <x:c r="CN8" s="17" t="str">
        <x:v>Core Mesopotamian comparison row; fragmentary, but central to Ziusudra/immortality cluster.</x:v>
      </x:c>
    </x:row>
    <x:row r="9" ht="92" customHeight="1">
      <x:c r="A9" s="10" t="str">
        <x:v>FM-005</x:v>
      </x:c>
      <x:c r="B9" s="10" t="str">
        <x:v>Deucalion and Pyrrha</x:v>
      </x:c>
      <x:c r="C9" s="10" t="str">
        <x:v>Greek / Mediterranean</x:v>
      </x:c>
      <x:c r="D9" s="10" t="str">
        <x:v>Greece</x:v>
      </x:c>
      <x:c r="E9" s="10" t="str">
        <x:v>Apollodorus, Library 1.7.2</x:v>
      </x:c>
      <x:c r="F9" s="10" t="str">
        <x:v>Mythographic summary</x:v>
      </x:c>
      <x:c r="G9" s="10" t="str">
        <x:v>survivor-chest flood</x:v>
      </x:c>
      <x:c r="H9" s="10" t="str">
        <x:v>high</x:v>
      </x:c>
      <x:c r="I9" s="10" t="str">
        <x:v>Moral cause less developed in Apollodorus than in other Greek versions such as Ovid.</x:v>
      </x:c>
      <x:c r="J9" s="10" t="str">
        <x:v>Prometheus advises Deucalion; Deucalion and Pyrrha survive Zeus's rain-flood in a chest with provisions, drift nine days and nights, land at Parnassus, sacrifice to Zeus, and restore humanity by throwing stones that become men and women.</x:v>
      </x:c>
      <x:c r="K9" s="12" t="n">
        <x:f>COUNTIF(M9:BP9,1)+0.5*COUNTIF(M9:BP9,"partial")</x:f>
        <x:v>19.5</x:v>
      </x:c>
      <x:c r="L9" s="12" t="n">
        <x:f>COUNTIF(M9:BP9,"partial")+COUNTIF(M9:BP9,"unclear")+COUNTIF(M9:BP9,"ambiguous")+COUNTIF(M9:BP9,"n/a")</x:f>
        <x:v>5</x:v>
      </x:c>
      <x:c r="M9" s="10" t="str">
        <x:v>unclear</x:v>
      </x:c>
      <x:c r="N9" s="10" t="n">
        <x:v>0</x:v>
      </x:c>
      <x:c r="O9" s="10" t="n">
        <x:v>0</x:v>
      </x:c>
      <x:c r="P9" s="10" t="n">
        <x:v>0</x:v>
      </x:c>
      <x:c r="Q9" s="10" t="n">
        <x:v>0</x:v>
      </x:c>
      <x:c r="R9" s="10" t="n">
        <x:v>1</x:v>
      </x:c>
      <x:c r="S9" s="10" t="n">
        <x:v>0</x:v>
      </x:c>
      <x:c r="T9" s="10" t="n">
        <x:v>0</x:v>
      </x:c>
      <x:c r="U9" s="10" t="n">
        <x:v>0</x:v>
      </x:c>
      <x:c r="V9" s="10" t="n">
        <x:v>0</x:v>
      </x:c>
      <x:c r="W9" s="10" t="n">
        <x:v>1</x:v>
      </x:c>
      <x:c r="X9" s="10" t="str">
        <x:v>unclear</x:v>
      </x:c>
      <x:c r="Y9" s="10" t="n">
        <x:v>1</x:v>
      </x:c>
      <x:c r="Z9" s="10" t="n">
        <x:v>1</x:v>
      </x:c>
      <x:c r="AA9" s="10" t="n">
        <x:v>0</x:v>
      </x:c>
      <x:c r="AB9" s="10" t="n">
        <x:v>0</x:v>
      </x:c>
      <x:c r="AC9" s="10" t="n">
        <x:v>1</x:v>
      </x:c>
      <x:c r="AD9" s="10" t="n">
        <x:v>0</x:v>
      </x:c>
      <x:c r="AE9" s="10" t="n">
        <x:v>0</x:v>
      </x:c>
      <x:c r="AF9" s="10" t="n">
        <x:v>0</x:v>
      </x:c>
      <x:c r="AG9" s="10" t="n">
        <x:v>1</x:v>
      </x:c>
      <x:c r="AH9" s="10" t="n">
        <x:v>1</x:v>
      </x:c>
      <x:c r="AI9" s="10" t="n">
        <x:v>0</x:v>
      </x:c>
      <x:c r="AJ9" s="10" t="n">
        <x:v>0</x:v>
      </x:c>
      <x:c r="AK9" s="10" t="n">
        <x:v>0</x:v>
      </x:c>
      <x:c r="AL9" s="10" t="n">
        <x:v>1</x:v>
      </x:c>
      <x:c r="AM9" s="10" t="n">
        <x:v>0</x:v>
      </x:c>
      <x:c r="AN9" s="10" t="n">
        <x:v>0</x:v>
      </x:c>
      <x:c r="AO9" s="10" t="n">
        <x:v>1</x:v>
      </x:c>
      <x:c r="AP9" s="10" t="n">
        <x:v>1</x:v>
      </x:c>
      <x:c r="AQ9" s="10" t="n">
        <x:v>1</x:v>
      </x:c>
      <x:c r="AR9" s="10" t="n">
        <x:v>0</x:v>
      </x:c>
      <x:c r="AS9" s="10" t="n">
        <x:v>0</x:v>
      </x:c>
      <x:c r="AT9" s="10" t="str">
        <x:v>partial</x:v>
      </x:c>
      <x:c r="AU9" s="10" t="n">
        <x:v>1</x:v>
      </x:c>
      <x:c r="AV9" s="10" t="n">
        <x:v>1</x:v>
      </x:c>
      <x:c r="AW9" s="10" t="n">
        <x:v>0</x:v>
      </x:c>
      <x:c r="AX9" s="10" t="n">
        <x:v>0</x:v>
      </x:c>
      <x:c r="AY9" s="10" t="n">
        <x:v>1</x:v>
      </x:c>
      <x:c r="AZ9" s="10" t="n">
        <x:v>0</x:v>
      </x:c>
      <x:c r="BA9" s="10" t="n">
        <x:v>1</x:v>
      </x:c>
      <x:c r="BB9" s="10" t="n">
        <x:v>0</x:v>
      </x:c>
      <x:c r="BC9" s="10" t="n">
        <x:v>0</x:v>
      </x:c>
      <x:c r="BD9" s="10" t="n">
        <x:v>0</x:v>
      </x:c>
      <x:c r="BE9" s="10" t="n">
        <x:v>1</x:v>
      </x:c>
      <x:c r="BF9" s="10" t="n">
        <x:v>0</x:v>
      </x:c>
      <x:c r="BG9" s="10" t="n">
        <x:v>0</x:v>
      </x:c>
      <x:c r="BH9" s="10" t="str">
        <x:v>partial</x:v>
      </x:c>
      <x:c r="BI9" s="10" t="n">
        <x:v>0</x:v>
      </x:c>
      <x:c r="BJ9" s="10" t="n">
        <x:v>1</x:v>
      </x:c>
      <x:c r="BK9" s="10" t="n">
        <x:v>0</x:v>
      </x:c>
      <x:c r="BL9" s="10" t="n">
        <x:v>1</x:v>
      </x:c>
      <x:c r="BM9" s="10" t="str">
        <x:v>partial</x:v>
      </x:c>
      <x:c r="BN9" s="10" t="n">
        <x:v>0</x:v>
      </x:c>
      <x:c r="BO9" s="10" t="n">
        <x:v>0</x:v>
      </x:c>
      <x:c r="BP9" s="10" t="n">
        <x:v>0</x:v>
      </x:c>
      <x:c r="CI9" s="17" t="str">
        <x:v>yes</x:v>
      </x:c>
      <x:c r="CJ9" s="17" t="str">
        <x:v>classic_survivor_flood</x:v>
      </x:c>
      <x:c r="CK9" s="17" t="n">
        <x:f>SUM(COUNTIF(W9,1),COUNTIF(AA9,1),COUNTIF(AC9,1),COUNTIF(AG9,1),COUNTIF(AH9,1),COUNTIF(AI9,1),COUNTIF(AK9,1),COUNTIF(AL9,1),COUNTIF(AM9,1),COUNTIF(AO9,1),COUNTIF(AP9,1),COUNTIF(AQ9,1),COUNTIF(AV9,1),COUNTIF(AZ9,1),COUNTIF(BA9,1),COUNTIF(BB9,1),COUNTIF(BE9,1),COUNTIF(BF9,1),COUNTIF(BG9,1),COUNTIF(BH9,1),COUNTIF(BI9,1),COUNTIF(BJ9,1),COUNTIF(BK9,1))+0.5*SUM(COUNTIF(W9,"partial"),COUNTIF(AA9,"partial"),COUNTIF(AC9,"partial"),COUNTIF(AG9,"partial"),COUNTIF(AH9,"partial"),COUNTIF(AI9,"partial"),COUNTIF(AK9,"partial"),COUNTIF(AL9,"partial"),COUNTIF(AM9,"partial"),COUNTIF(AO9,"partial"),COUNTIF(AP9,"partial"),COUNTIF(AQ9,"partial"),COUNTIF(AV9,"partial"),COUNTIF(AZ9,"partial"),COUNTIF(BA9,"partial"),COUNTIF(BB9,"partial"),COUNTIF(BE9,"partial"),COUNTIF(BF9,"partial"),COUNTIF(BG9,"partial"),COUNTIF(BH9,"partial"),COUNTIF(BI9,"partial"),COUNTIF(BJ9,"partial"),COUNTIF(BK9,"partial"))+0.5*SUM(COUNTIF(W9,"ambiguous"),COUNTIF(AA9,"ambiguous"),COUNTIF(AC9,"ambiguous"),COUNTIF(AG9,"ambiguous"),COUNTIF(AH9,"ambiguous"),COUNTIF(AI9,"ambiguous"),COUNTIF(AK9,"ambiguous"),COUNTIF(AL9,"ambiguous"),COUNTIF(AM9,"ambiguous"),COUNTIF(AO9,"ambiguous"),COUNTIF(AP9,"ambiguous"),COUNTIF(AQ9,"ambiguous"),COUNTIF(AV9,"ambiguous"),COUNTIF(AZ9,"ambiguous"),COUNTIF(BA9,"ambiguous"),COUNTIF(BB9,"ambiguous"),COUNTIF(BE9,"ambiguous"),COUNTIF(BF9,"ambiguous"),COUNTIF(BG9,"ambiguous"),COUNTIF(BH9,"ambiguous"),COUNTIF(BI9,"ambiguous"),COUNTIF(BJ9,"ambiguous"),COUNTIF(BK9,"ambiguous"))</x:f>
        <x:v>12.5</x:v>
      </x:c>
      <x:c r="CL9" s="17" t="n">
        <x:f>COUNTIF(M9:BH9,1)+0.5*COUNTIF(M9:BH9,"partial")+0.5*COUNTIF(M9:BH9,"ambiguous")</x:f>
        <x:v>17</x:v>
      </x:c>
      <x:c r="CM9" s="17" t="str">
        <x:v>core_heatmap</x:v>
      </x:c>
      <x:c r="CN9" s="17" t="str">
        <x:v>Core non-Mesopotamian survivor-flood comparison row.</x:v>
      </x:c>
    </x:row>
    <x:row r="10" ht="92" customHeight="1">
      <x:c r="A10" s="10" t="str">
        <x:v>FM-006</x:v>
      </x:c>
      <x:c r="B10" s="10" t="str">
        <x:v>Manu and the Fish</x:v>
      </x:c>
      <x:c r="C10" s="10" t="str">
        <x:v>Indian / Sanskrit</x:v>
      </x:c>
      <x:c r="D10" s="10" t="str">
        <x:v>India</x:v>
      </x:c>
      <x:c r="E10" s="10" t="str">
        <x:v>Śatapatha Brāhmaṇa flood account</x:v>
      </x:c>
      <x:c r="F10" s="10" t="str">
        <x:v>Ritual prose / mythic narrative</x:v>
      </x:c>
      <x:c r="G10" s="10" t="str">
        <x:v>animal-helper ritual-recreation flood</x:v>
      </x:c>
      <x:c r="H10" s="10" t="str">
        <x:v>high</x:v>
      </x:c>
      <x:c r="I10" s="10" t="str">
        <x:v>Early version; fish not automatically coded as Vishnu/Matsya unless later variants are added separately.</x:v>
      </x:c>
      <x:c r="J10" s="10" t="str">
        <x:v>Manu protects a small fish that grows and warns him of a coming flood. Manu prepares a ship, ties it to the horned fish, is guided to a northern mountain, survives alone, then performs sacrifice that generates a woman/blessing through whom the race of Manu is produced.</x:v>
      </x:c>
      <x:c r="K10" s="12" t="n">
        <x:f>COUNTIF(M10:BP10,1)+0.5*COUNTIF(M10:BP10,"partial")</x:f>
        <x:v>15.5</x:v>
      </x:c>
      <x:c r="L10" s="12" t="n">
        <x:f>COUNTIF(M10:BP10,"partial")+COUNTIF(M10:BP10,"unclear")+COUNTIF(M10:BP10,"ambiguous")+COUNTIF(M10:BP10,"n/a")</x:f>
        <x:v>6</x:v>
      </x:c>
      <x:c r="M10" s="10" t="n">
        <x:v>0</x:v>
      </x:c>
      <x:c r="N10" s="10" t="n">
        <x:v>0</x:v>
      </x:c>
      <x:c r="O10" s="10" t="n">
        <x:v>0</x:v>
      </x:c>
      <x:c r="P10" s="10" t="n">
        <x:v>0</x:v>
      </x:c>
      <x:c r="Q10" s="10" t="n">
        <x:v>0</x:v>
      </x:c>
      <x:c r="R10" s="10" t="str">
        <x:v>unclear</x:v>
      </x:c>
      <x:c r="S10" s="10" t="n">
        <x:v>0</x:v>
      </x:c>
      <x:c r="T10" s="10" t="n">
        <x:v>0</x:v>
      </x:c>
      <x:c r="U10" s="10" t="n">
        <x:v>0</x:v>
      </x:c>
      <x:c r="V10" s="10" t="n">
        <x:v>0</x:v>
      </x:c>
      <x:c r="W10" s="10" t="n">
        <x:v>1</x:v>
      </x:c>
      <x:c r="X10" s="10" t="str">
        <x:v>unclear</x:v>
      </x:c>
      <x:c r="Y10" s="10" t="n">
        <x:v>0</x:v>
      </x:c>
      <x:c r="Z10" s="10" t="n">
        <x:v>0</x:v>
      </x:c>
      <x:c r="AA10" s="10" t="n">
        <x:v>0</x:v>
      </x:c>
      <x:c r="AB10" s="10" t="n">
        <x:v>1</x:v>
      </x:c>
      <x:c r="AC10" s="10" t="n">
        <x:v>1</x:v>
      </x:c>
      <x:c r="AD10" s="10" t="n">
        <x:v>0</x:v>
      </x:c>
      <x:c r="AE10" s="10" t="n">
        <x:v>0</x:v>
      </x:c>
      <x:c r="AF10" s="10" t="n">
        <x:v>1</x:v>
      </x:c>
      <x:c r="AG10" s="10" t="n">
        <x:v>1</x:v>
      </x:c>
      <x:c r="AH10" s="10" t="n">
        <x:v>0</x:v>
      </x:c>
      <x:c r="AI10" s="10" t="n">
        <x:v>0</x:v>
      </x:c>
      <x:c r="AJ10" s="10" t="n">
        <x:v>0</x:v>
      </x:c>
      <x:c r="AK10" s="10" t="n">
        <x:v>0</x:v>
      </x:c>
      <x:c r="AL10" s="10" t="n">
        <x:v>0</x:v>
      </x:c>
      <x:c r="AM10" s="10" t="n">
        <x:v>0</x:v>
      </x:c>
      <x:c r="AN10" s="10" t="n">
        <x:v>0</x:v>
      </x:c>
      <x:c r="AO10" s="10" t="n">
        <x:v>1</x:v>
      </x:c>
      <x:c r="AP10" s="10" t="n">
        <x:v>1</x:v>
      </x:c>
      <x:c r="AQ10" s="10" t="str">
        <x:v>unclear</x:v>
      </x:c>
      <x:c r="AR10" s="10" t="n">
        <x:v>0</x:v>
      </x:c>
      <x:c r="AS10" s="10" t="n">
        <x:v>0</x:v>
      </x:c>
      <x:c r="AT10" s="10" t="n">
        <x:v>1</x:v>
      </x:c>
      <x:c r="AU10" s="10" t="n">
        <x:v>0</x:v>
      </x:c>
      <x:c r="AV10" s="10" t="n">
        <x:v>1</x:v>
      </x:c>
      <x:c r="AW10" s="10" t="n">
        <x:v>1</x:v>
      </x:c>
      <x:c r="AX10" s="10" t="n">
        <x:v>0</x:v>
      </x:c>
      <x:c r="AY10" s="10" t="n">
        <x:v>0</x:v>
      </x:c>
      <x:c r="AZ10" s="10" t="n">
        <x:v>0</x:v>
      </x:c>
      <x:c r="BA10" s="10" t="n">
        <x:v>1</x:v>
      </x:c>
      <x:c r="BB10" s="10" t="n">
        <x:v>0</x:v>
      </x:c>
      <x:c r="BC10" s="10" t="n">
        <x:v>0</x:v>
      </x:c>
      <x:c r="BD10" s="10" t="n">
        <x:v>0</x:v>
      </x:c>
      <x:c r="BE10" s="10" t="n">
        <x:v>1</x:v>
      </x:c>
      <x:c r="BF10" s="10" t="n">
        <x:v>0</x:v>
      </x:c>
      <x:c r="BG10" s="10" t="n">
        <x:v>0</x:v>
      </x:c>
      <x:c r="BH10" s="10" t="str">
        <x:v>partial</x:v>
      </x:c>
      <x:c r="BI10" s="10" t="n">
        <x:v>0</x:v>
      </x:c>
      <x:c r="BJ10" s="10" t="n">
        <x:v>1</x:v>
      </x:c>
      <x:c r="BK10" s="10" t="n">
        <x:v>1</x:v>
      </x:c>
      <x:c r="BL10" s="10" t="str">
        <x:v>partial</x:v>
      </x:c>
      <x:c r="BM10" s="10" t="str">
        <x:v>partial</x:v>
      </x:c>
      <x:c r="BN10" s="10" t="n">
        <x:v>0</x:v>
      </x:c>
      <x:c r="BO10" s="10" t="n">
        <x:v>0</x:v>
      </x:c>
      <x:c r="BP10" s="10" t="n">
        <x:v>0</x:v>
      </x:c>
      <x:c r="CI10" s="17" t="str">
        <x:v>yes</x:v>
      </x:c>
      <x:c r="CJ10" s="17" t="str">
        <x:v>classic_survivor_flood</x:v>
      </x:c>
      <x:c r="CK10" s="17" t="n">
        <x:f>SUM(COUNTIF(W10,1),COUNTIF(AA10,1),COUNTIF(AC10,1),COUNTIF(AG10,1),COUNTIF(AH10,1),COUNTIF(AI10,1),COUNTIF(AK10,1),COUNTIF(AL10,1),COUNTIF(AM10,1),COUNTIF(AO10,1),COUNTIF(AP10,1),COUNTIF(AQ10,1),COUNTIF(AV10,1),COUNTIF(AZ10,1),COUNTIF(BA10,1),COUNTIF(BB10,1),COUNTIF(BE10,1),COUNTIF(BF10,1),COUNTIF(BG10,1),COUNTIF(BH10,1),COUNTIF(BI10,1),COUNTIF(BJ10,1),COUNTIF(BK10,1))+0.5*SUM(COUNTIF(W10,"partial"),COUNTIF(AA10,"partial"),COUNTIF(AC10,"partial"),COUNTIF(AG10,"partial"),COUNTIF(AH10,"partial"),COUNTIF(AI10,"partial"),COUNTIF(AK10,"partial"),COUNTIF(AL10,"partial"),COUNTIF(AM10,"partial"),COUNTIF(AO10,"partial"),COUNTIF(AP10,"partial"),COUNTIF(AQ10,"partial"),COUNTIF(AV10,"partial"),COUNTIF(AZ10,"partial"),COUNTIF(BA10,"partial"),COUNTIF(BB10,"partial"),COUNTIF(BE10,"partial"),COUNTIF(BF10,"partial"),COUNTIF(BG10,"partial"),COUNTIF(BH10,"partial"),COUNTIF(BI10,"partial"),COUNTIF(BJ10,"partial"),COUNTIF(BK10,"partial"))+0.5*SUM(COUNTIF(W10,"ambiguous"),COUNTIF(AA10,"ambiguous"),COUNTIF(AC10,"ambiguous"),COUNTIF(AG10,"ambiguous"),COUNTIF(AH10,"ambiguous"),COUNTIF(AI10,"ambiguous"),COUNTIF(AK10,"ambiguous"),COUNTIF(AL10,"ambiguous"),COUNTIF(AM10,"ambiguous"),COUNTIF(AO10,"ambiguous"),COUNTIF(AP10,"ambiguous"),COUNTIF(AQ10,"ambiguous"),COUNTIF(AV10,"ambiguous"),COUNTIF(AZ10,"ambiguous"),COUNTIF(BA10,"ambiguous"),COUNTIF(BB10,"ambiguous"),COUNTIF(BE10,"ambiguous"),COUNTIF(BF10,"ambiguous"),COUNTIF(BG10,"ambiguous"),COUNTIF(BH10,"ambiguous"),COUNTIF(BI10,"ambiguous"),COUNTIF(BJ10,"ambiguous"),COUNTIF(BK10,"ambiguous"))</x:f>
        <x:v>10.5</x:v>
      </x:c>
      <x:c r="CL10" s="17" t="n">
        <x:f>COUNTIF(M10:BH10,1)+0.5*COUNTIF(M10:BH10,"partial")+0.5*COUNTIF(M10:BH10,"ambiguous")</x:f>
        <x:v>12.5</x:v>
      </x:c>
      <x:c r="CM10" s="17" t="str">
        <x:v>core_heatmap</x:v>
      </x:c>
      <x:c r="CN10" s="17" t="str">
        <x:v>Core non-Mesopotamian survivor-flood comparison row; early Śatapatha version only.</x:v>
      </x:c>
    </x:row>
    <x:row r="11" ht="92" customHeight="1">
      <x:c r="A11" s="10" t="str">
        <x:v>FM-007</x:v>
      </x:c>
      <x:c r="B11" s="10" t="str">
        <x:v>Yu Controls the Flood</x:v>
      </x:c>
      <x:c r="C11" s="10" t="str">
        <x:v>Chinese</x:v>
      </x:c>
      <x:c r="D11" s="10" t="str">
        <x:v>China</x:v>
      </x:c>
      <x:c r="E11" s="10" t="str">
        <x:v>Mencius / Mengzi, Teng Wen Gong I</x:v>
      </x:c>
      <x:c r="F11" s="10" t="str">
        <x:v>Philosophical-political myth-history</x:v>
      </x:c>
      <x:c r="G11" s="10" t="str">
        <x:v>flood-control civilization-restoration myth</x:v>
      </x:c>
      <x:c r="H11" s="10" t="str">
        <x:v>high</x:v>
      </x:c>
      <x:c r="I11" s="10" t="str">
        <x:v>Not a survivor-boat flood; it should be interpreted as flood-control and civilization restoration.</x:v>
      </x:c>
      <x:c r="J11" s="10" t="str">
        <x:v>The world is not yet ordered; waters overflow, animals threaten humans, and agriculture fails. Yao appoints Shun, Shun appoints Yi and Yu, Yu channels rivers and waters to the sea, agriculture returns, Hou Ji teaches farming, and Xie teaches human relations.</x:v>
      </x:c>
      <x:c r="K11" s="12" t="n">
        <x:f>COUNTIF(M11:BP11,1)+0.5*COUNTIF(M11:BP11,"partial")</x:f>
        <x:v>8.5</x:v>
      </x:c>
      <x:c r="L11" s="12" t="n">
        <x:f>COUNTIF(M11:BP11,"partial")+COUNTIF(M11:BP11,"unclear")+COUNTIF(M11:BP11,"ambiguous")+COUNTIF(M11:BP11,"n/a")</x:f>
        <x:v>1</x:v>
      </x:c>
      <x:c r="M11" s="10" t="n">
        <x:v>0</x:v>
      </x:c>
      <x:c r="N11" s="10" t="n">
        <x:v>0</x:v>
      </x:c>
      <x:c r="O11" s="10" t="n">
        <x:v>0</x:v>
      </x:c>
      <x:c r="P11" s="10" t="n">
        <x:v>1</x:v>
      </x:c>
      <x:c r="Q11" s="10" t="n">
        <x:v>0</x:v>
      </x:c>
      <x:c r="R11" s="10" t="n">
        <x:v>0</x:v>
      </x:c>
      <x:c r="S11" s="10" t="n">
        <x:v>0</x:v>
      </x:c>
      <x:c r="T11" s="10" t="n">
        <x:v>1</x:v>
      </x:c>
      <x:c r="U11" s="10" t="n">
        <x:v>0</x:v>
      </x:c>
      <x:c r="V11" s="10" t="n">
        <x:v>1</x:v>
      </x:c>
      <x:c r="W11" s="10" t="n">
        <x:v>0</x:v>
      </x:c>
      <x:c r="X11" s="10" t="n">
        <x:v>0</x:v>
      </x:c>
      <x:c r="Y11" s="10" t="n">
        <x:v>0</x:v>
      </x:c>
      <x:c r="Z11" s="10" t="n">
        <x:v>0</x:v>
      </x:c>
      <x:c r="AA11" s="10" t="n">
        <x:v>0</x:v>
      </x:c>
      <x:c r="AB11" s="10" t="n">
        <x:v>0</x:v>
      </x:c>
      <x:c r="AC11" s="10" t="n">
        <x:v>0</x:v>
      </x:c>
      <x:c r="AD11" s="10" t="n">
        <x:v>0</x:v>
      </x:c>
      <x:c r="AE11" s="10" t="n">
        <x:v>0</x:v>
      </x:c>
      <x:c r="AF11" s="10" t="n">
        <x:v>0</x:v>
      </x:c>
      <x:c r="AG11" s="10" t="n">
        <x:v>0</x:v>
      </x:c>
      <x:c r="AH11" s="10" t="n">
        <x:v>0</x:v>
      </x:c>
      <x:c r="AI11" s="10" t="n">
        <x:v>0</x:v>
      </x:c>
      <x:c r="AJ11" s="10" t="n">
        <x:v>0</x:v>
      </x:c>
      <x:c r="AK11" s="10" t="n">
        <x:v>0</x:v>
      </x:c>
      <x:c r="AL11" s="10" t="n">
        <x:v>0</x:v>
      </x:c>
      <x:c r="AM11" s="10" t="n">
        <x:v>0</x:v>
      </x:c>
      <x:c r="AN11" s="10" t="n">
        <x:v>1</x:v>
      </x:c>
      <x:c r="AO11" s="10" t="n">
        <x:v>0</x:v>
      </x:c>
      <x:c r="AP11" s="10" t="str">
        <x:v>partial</x:v>
      </x:c>
      <x:c r="AQ11" s="10" t="n">
        <x:v>0</x:v>
      </x:c>
      <x:c r="AR11" s="10" t="n">
        <x:v>0</x:v>
      </x:c>
      <x:c r="AS11" s="10" t="n">
        <x:v>0</x:v>
      </x:c>
      <x:c r="AT11" s="10" t="n">
        <x:v>0</x:v>
      </x:c>
      <x:c r="AU11" s="10" t="n">
        <x:v>1</x:v>
      </x:c>
      <x:c r="AV11" s="10" t="n">
        <x:v>0</x:v>
      </x:c>
      <x:c r="AW11" s="10" t="n">
        <x:v>0</x:v>
      </x:c>
      <x:c r="AX11" s="10" t="n">
        <x:v>0</x:v>
      </x:c>
      <x:c r="AY11" s="10" t="n">
        <x:v>0</x:v>
      </x:c>
      <x:c r="AZ11" s="10" t="n">
        <x:v>0</x:v>
      </x:c>
      <x:c r="BA11" s="10" t="n">
        <x:v>0</x:v>
      </x:c>
      <x:c r="BB11" s="10" t="n">
        <x:v>0</x:v>
      </x:c>
      <x:c r="BC11" s="10" t="n">
        <x:v>0</x:v>
      </x:c>
      <x:c r="BD11" s="10" t="n">
        <x:v>0</x:v>
      </x:c>
      <x:c r="BE11" s="10" t="n">
        <x:v>0</x:v>
      </x:c>
      <x:c r="BF11" s="10" t="n">
        <x:v>0</x:v>
      </x:c>
      <x:c r="BG11" s="10" t="n">
        <x:v>0</x:v>
      </x:c>
      <x:c r="BH11" s="10" t="n">
        <x:v>1</x:v>
      </x:c>
      <x:c r="BI11" s="10" t="n">
        <x:v>0</x:v>
      </x:c>
      <x:c r="BJ11" s="10" t="n">
        <x:v>0</x:v>
      </x:c>
      <x:c r="BK11" s="10" t="n">
        <x:v>0</x:v>
      </x:c>
      <x:c r="BL11" s="10" t="n">
        <x:v>0</x:v>
      </x:c>
      <x:c r="BM11" s="10" t="n">
        <x:v>1</x:v>
      </x:c>
      <x:c r="BN11" s="10" t="n">
        <x:v>1</x:v>
      </x:c>
      <x:c r="BO11" s="10" t="n">
        <x:v>0</x:v>
      </x:c>
      <x:c r="BP11" s="10" t="n">
        <x:v>0</x:v>
      </x:c>
      <x:c r="CI11" s="17" t="str">
        <x:v>no</x:v>
      </x:c>
      <x:c r="CJ11" s="17" t="str">
        <x:v>flood_control</x:v>
      </x:c>
      <x:c r="CK11" s="17" t="n">
        <x:f>SUM(COUNTIF(W11,1),COUNTIF(AA11,1),COUNTIF(AC11,1),COUNTIF(AG11,1),COUNTIF(AH11,1),COUNTIF(AI11,1),COUNTIF(AK11,1),COUNTIF(AL11,1),COUNTIF(AM11,1),COUNTIF(AO11,1),COUNTIF(AP11,1),COUNTIF(AQ11,1),COUNTIF(AV11,1),COUNTIF(AZ11,1),COUNTIF(BA11,1),COUNTIF(BB11,1),COUNTIF(BE11,1),COUNTIF(BF11,1),COUNTIF(BG11,1),COUNTIF(BH11,1),COUNTIF(BI11,1),COUNTIF(BJ11,1),COUNTIF(BK11,1))+0.5*SUM(COUNTIF(W11,"partial"),COUNTIF(AA11,"partial"),COUNTIF(AC11,"partial"),COUNTIF(AG11,"partial"),COUNTIF(AH11,"partial"),COUNTIF(AI11,"partial"),COUNTIF(AK11,"partial"),COUNTIF(AL11,"partial"),COUNTIF(AM11,"partial"),COUNTIF(AO11,"partial"),COUNTIF(AP11,"partial"),COUNTIF(AQ11,"partial"),COUNTIF(AV11,"partial"),COUNTIF(AZ11,"partial"),COUNTIF(BA11,"partial"),COUNTIF(BB11,"partial"),COUNTIF(BE11,"partial"),COUNTIF(BF11,"partial"),COUNTIF(BG11,"partial"),COUNTIF(BH11,"partial"),COUNTIF(BI11,"partial"),COUNTIF(BJ11,"partial"),COUNTIF(BK11,"partial"))+0.5*SUM(COUNTIF(W11,"ambiguous"),COUNTIF(AA11,"ambiguous"),COUNTIF(AC11,"ambiguous"),COUNTIF(AG11,"ambiguous"),COUNTIF(AH11,"ambiguous"),COUNTIF(AI11,"ambiguous"),COUNTIF(AK11,"ambiguous"),COUNTIF(AL11,"ambiguous"),COUNTIF(AM11,"ambiguous"),COUNTIF(AO11,"ambiguous"),COUNTIF(AP11,"ambiguous"),COUNTIF(AQ11,"ambiguous"),COUNTIF(AV11,"ambiguous"),COUNTIF(AZ11,"ambiguous"),COUNTIF(BA11,"ambiguous"),COUNTIF(BB11,"ambiguous"),COUNTIF(BE11,"ambiguous"),COUNTIF(BF11,"ambiguous"),COUNTIF(BG11,"ambiguous"),COUNTIF(BH11,"ambiguous"),COUNTIF(BI11,"ambiguous"),COUNTIF(BJ11,"ambiguous"),COUNTIF(BK11,"ambiguous"))</x:f>
        <x:v>1.5</x:v>
      </x:c>
      <x:c r="CL11" s="17" t="n">
        <x:f>COUNTIF(M11:BH11,1)+0.5*COUNTIF(M11:BH11,"partial")+0.5*COUNTIF(M11:BH11,"ambiguous")</x:f>
        <x:v>6.5</x:v>
      </x:c>
      <x:c r="CM11" s="17" t="str">
        <x:v>expanded_heatmap</x:v>
      </x:c>
      <x:c r="CN11" s="17" t="str">
        <x:v>Expanded flood-control row; analyze separately from ark-survival package.</x:v>
      </x:c>
    </x:row>
    <x:row r="12" ht="92" customHeight="1">
      <x:c r="A12" s="10" t="str">
        <x:v>FM-008</x:v>
      </x:c>
      <x:c r="B12" s="10" t="str">
        <x:v>Popol Vuh / Destruction of the Wooden People</x:v>
      </x:c>
      <x:c r="C12" s="10" t="str">
        <x:v>K'iche' Maya / Mesoamerican</x:v>
      </x:c>
      <x:c r="D12" s="10" t="str">
        <x:v>Mesoamerica</x:v>
      </x:c>
      <x:c r="E12" s="10" t="str">
        <x:v>Popol Vuh, Tedlock excerpt</x:v>
      </x:c>
      <x:c r="F12" s="10" t="str">
        <x:v>Creation narrative</x:v>
      </x:c>
      <x:c r="G12" s="10" t="str">
        <x:v>failed-creation destruction flood</x:v>
      </x:c>
      <x:c r="H12" s="10" t="str">
        <x:v>high</x:v>
      </x:c>
      <x:c r="I12" s="10" t="str">
        <x:v>Not a survivor flood; coded as destruction of failed proto-humanity.</x:v>
      </x:c>
      <x:c r="J12" s="10" t="str">
        <x:v>The creators repeatedly attempt to make beings who can speak, remember, and praise them. Wooden people lack heart, mind, and memory, so Heart of Sky devises a flood with resin/black rain, supernatural destroyers, animal and object rebellion, failed refuges, and monkeys as remnants of the failed humanity.</x:v>
      </x:c>
      <x:c r="K12" s="12" t="n">
        <x:f>COUNTIF(M12:BP12,1)+0.5*COUNTIF(M12:BP12,"partial")</x:f>
        <x:v>10</x:v>
      </x:c>
      <x:c r="L12" s="12" t="n">
        <x:f>COUNTIF(M12:BP12,"partial")+COUNTIF(M12:BP12,"unclear")+COUNTIF(M12:BP12,"ambiguous")+COUNTIF(M12:BP12,"n/a")</x:f>
        <x:v>3</x:v>
      </x:c>
      <x:c r="M12" s="10" t="str">
        <x:v>partial</x:v>
      </x:c>
      <x:c r="N12" s="10" t="n">
        <x:v>0</x:v>
      </x:c>
      <x:c r="O12" s="10" t="n">
        <x:v>1</x:v>
      </x:c>
      <x:c r="P12" s="10" t="n">
        <x:v>1</x:v>
      </x:c>
      <x:c r="Q12" s="10" t="n">
        <x:v>0</x:v>
      </x:c>
      <x:c r="R12" s="10" t="n">
        <x:v>1</x:v>
      </x:c>
      <x:c r="S12" s="10" t="n">
        <x:v>1</x:v>
      </x:c>
      <x:c r="T12" s="10" t="n">
        <x:v>0</x:v>
      </x:c>
      <x:c r="U12" s="10" t="n">
        <x:v>0</x:v>
      </x:c>
      <x:c r="V12" s="10" t="n">
        <x:v>0</x:v>
      </x:c>
      <x:c r="W12" s="10" t="n">
        <x:v>0</x:v>
      </x:c>
      <x:c r="X12" s="10" t="n">
        <x:v>0</x:v>
      </x:c>
      <x:c r="Y12" s="10" t="n">
        <x:v>0</x:v>
      </x:c>
      <x:c r="Z12" s="10" t="n">
        <x:v>0</x:v>
      </x:c>
      <x:c r="AA12" s="10" t="n">
        <x:v>0</x:v>
      </x:c>
      <x:c r="AB12" s="10" t="n">
        <x:v>0</x:v>
      </x:c>
      <x:c r="AC12" s="10" t="n">
        <x:v>0</x:v>
      </x:c>
      <x:c r="AD12" s="10" t="n">
        <x:v>0</x:v>
      </x:c>
      <x:c r="AE12" s="10" t="n">
        <x:v>0</x:v>
      </x:c>
      <x:c r="AF12" s="10" t="n">
        <x:v>0</x:v>
      </x:c>
      <x:c r="AG12" s="10" t="n">
        <x:v>0</x:v>
      </x:c>
      <x:c r="AH12" s="10" t="n">
        <x:v>0</x:v>
      </x:c>
      <x:c r="AI12" s="10" t="n">
        <x:v>0</x:v>
      </x:c>
      <x:c r="AJ12" s="10" t="n">
        <x:v>0</x:v>
      </x:c>
      <x:c r="AK12" s="10" t="n">
        <x:v>0</x:v>
      </x:c>
      <x:c r="AL12" s="10" t="n">
        <x:v>0</x:v>
      </x:c>
      <x:c r="AM12" s="10" t="n">
        <x:v>0</x:v>
      </x:c>
      <x:c r="AN12" s="10" t="n">
        <x:v>0</x:v>
      </x:c>
      <x:c r="AO12" s="10" t="n">
        <x:v>0</x:v>
      </x:c>
      <x:c r="AP12" s="10" t="n">
        <x:v>0</x:v>
      </x:c>
      <x:c r="AQ12" s="10" t="n">
        <x:v>1</x:v>
      </x:c>
      <x:c r="AR12" s="10" t="n">
        <x:v>0</x:v>
      </x:c>
      <x:c r="AS12" s="10" t="n">
        <x:v>0</x:v>
      </x:c>
      <x:c r="AT12" s="10" t="str">
        <x:v>ambiguous</x:v>
      </x:c>
      <x:c r="AU12" s="10" t="n">
        <x:v>0</x:v>
      </x:c>
      <x:c r="AV12" s="10" t="n">
        <x:v>1</x:v>
      </x:c>
      <x:c r="AW12" s="10" t="n">
        <x:v>0</x:v>
      </x:c>
      <x:c r="AX12" s="10" t="n">
        <x:v>1</x:v>
      </x:c>
      <x:c r="AY12" s="10" t="n">
        <x:v>1</x:v>
      </x:c>
      <x:c r="AZ12" s="10" t="n">
        <x:v>0</x:v>
      </x:c>
      <x:c r="BA12" s="10" t="n">
        <x:v>0</x:v>
      </x:c>
      <x:c r="BB12" s="10" t="n">
        <x:v>0</x:v>
      </x:c>
      <x:c r="BC12" s="10" t="n">
        <x:v>0</x:v>
      </x:c>
      <x:c r="BD12" s="10" t="n">
        <x:v>0</x:v>
      </x:c>
      <x:c r="BE12" s="10" t="n">
        <x:v>0</x:v>
      </x:c>
      <x:c r="BF12" s="10" t="n">
        <x:v>0</x:v>
      </x:c>
      <x:c r="BG12" s="10" t="n">
        <x:v>0</x:v>
      </x:c>
      <x:c r="BH12" s="10" t="str">
        <x:v>partial</x:v>
      </x:c>
      <x:c r="BI12" s="10" t="n">
        <x:v>0</x:v>
      </x:c>
      <x:c r="BJ12" s="10" t="n">
        <x:v>0</x:v>
      </x:c>
      <x:c r="BK12" s="10" t="n">
        <x:v>0</x:v>
      </x:c>
      <x:c r="BL12" s="10" t="n">
        <x:v>0</x:v>
      </x:c>
      <x:c r="BM12" s="10" t="n">
        <x:v>0</x:v>
      </x:c>
      <x:c r="BN12" s="10" t="n">
        <x:v>0</x:v>
      </x:c>
      <x:c r="BO12" s="10" t="n">
        <x:v>1</x:v>
      </x:c>
      <x:c r="BP12" s="10" t="n">
        <x:v>0</x:v>
      </x:c>
      <x:c r="CI12" s="17" t="str">
        <x:v>no</x:v>
      </x:c>
      <x:c r="CJ12" s="17" t="str">
        <x:v>failed_creation</x:v>
      </x:c>
      <x:c r="CK12" s="17" t="n">
        <x:f>SUM(COUNTIF(W12,1),COUNTIF(AA12,1),COUNTIF(AC12,1),COUNTIF(AG12,1),COUNTIF(AH12,1),COUNTIF(AI12,1),COUNTIF(AK12,1),COUNTIF(AL12,1),COUNTIF(AM12,1),COUNTIF(AO12,1),COUNTIF(AP12,1),COUNTIF(AQ12,1),COUNTIF(AV12,1),COUNTIF(AZ12,1),COUNTIF(BA12,1),COUNTIF(BB12,1),COUNTIF(BE12,1),COUNTIF(BF12,1),COUNTIF(BG12,1),COUNTIF(BH12,1),COUNTIF(BI12,1),COUNTIF(BJ12,1),COUNTIF(BK12,1))+0.5*SUM(COUNTIF(W12,"partial"),COUNTIF(AA12,"partial"),COUNTIF(AC12,"partial"),COUNTIF(AG12,"partial"),COUNTIF(AH12,"partial"),COUNTIF(AI12,"partial"),COUNTIF(AK12,"partial"),COUNTIF(AL12,"partial"),COUNTIF(AM12,"partial"),COUNTIF(AO12,"partial"),COUNTIF(AP12,"partial"),COUNTIF(AQ12,"partial"),COUNTIF(AV12,"partial"),COUNTIF(AZ12,"partial"),COUNTIF(BA12,"partial"),COUNTIF(BB12,"partial"),COUNTIF(BE12,"partial"),COUNTIF(BF12,"partial"),COUNTIF(BG12,"partial"),COUNTIF(BH12,"partial"),COUNTIF(BI12,"partial"),COUNTIF(BJ12,"partial"),COUNTIF(BK12,"partial"))+0.5*SUM(COUNTIF(W12,"ambiguous"),COUNTIF(AA12,"ambiguous"),COUNTIF(AC12,"ambiguous"),COUNTIF(AG12,"ambiguous"),COUNTIF(AH12,"ambiguous"),COUNTIF(AI12,"ambiguous"),COUNTIF(AK12,"ambiguous"),COUNTIF(AL12,"ambiguous"),COUNTIF(AM12,"ambiguous"),COUNTIF(AO12,"ambiguous"),COUNTIF(AP12,"ambiguous"),COUNTIF(AQ12,"ambiguous"),COUNTIF(AV12,"ambiguous"),COUNTIF(AZ12,"ambiguous"),COUNTIF(BA12,"ambiguous"),COUNTIF(BB12,"ambiguous"),COUNTIF(BE12,"ambiguous"),COUNTIF(BF12,"ambiguous"),COUNTIF(BG12,"ambiguous"),COUNTIF(BH12,"ambiguous"),COUNTIF(BI12,"ambiguous"),COUNTIF(BJ12,"ambiguous"),COUNTIF(BK12,"ambiguous"))</x:f>
        <x:v>2.5</x:v>
      </x:c>
      <x:c r="CL12" s="17" t="n">
        <x:f>COUNTIF(M12:BH12,1)+0.5*COUNTIF(M12:BH12,"partial")+0.5*COUNTIF(M12:BH12,"ambiguous")</x:f>
        <x:v>9.5</x:v>
      </x:c>
      <x:c r="CM12" s="17" t="str">
        <x:v>expanded_heatmap</x:v>
      </x:c>
      <x:c r="CN12" s="17" t="str">
        <x:v>Expanded failed-creation/destruction row; not a survivor-vessel flood.</x:v>
      </x:c>
    </x:row>
    <x:row r="13" ht="92" customHeight="1">
      <x:c r="A13" s="10" t="str">
        <x:v>FM-009</x:v>
      </x:c>
      <x:c r="B13" s="10" t="str">
        <x:v>Huarochirí / The Llama Warns of the Flood</x:v>
      </x:c>
      <x:c r="C13" s="10" t="str">
        <x:v>Andean / Quechua</x:v>
      </x:c>
      <x:c r="D13" s="10" t="str">
        <x:v>Huarochirí, Peru</x:v>
      </x:c>
      <x:c r="E13" s="10" t="str">
        <x:v>Huarochirí Manuscript, Chapter 3</x:v>
      </x:c>
      <x:c r="F13" s="10" t="str">
        <x:v>Early colonial Quechua myth manuscript</x:v>
      </x:c>
      <x:c r="G13" s="10" t="str">
        <x:v>animal-warning mountain-refuge flood</x:v>
      </x:c>
      <x:c r="H13" s="10" t="str">
        <x:v>high</x:v>
      </x:c>
      <x:c r="I13" s="10" t="str">
        <x:v>Early colonial Christian frame; family survival and repopulation mechanism are internally ambiguous.</x:v>
      </x:c>
      <x:c r="J13" s="10" t="str">
        <x:v>A male llama foresees the overflow of the Mother Lake/sea, speaks like a human, warns its owner five days in advance, and directs him with food to Huillcacoto mountain. Animals gather there, the waters cover the land, the fox tail is blackened, and humanity continues through the mountain survivor.</x:v>
      </x:c>
      <x:c r="K13" s="12" t="n">
        <x:f>COUNTIF(M13:BP13,1)+0.5*COUNTIF(M13:BP13,"partial")</x:f>
        <x:v>16</x:v>
      </x:c>
      <x:c r="L13" s="12" t="n">
        <x:f>COUNTIF(M13:BP13,"partial")+COUNTIF(M13:BP13,"unclear")+COUNTIF(M13:BP13,"ambiguous")+COUNTIF(M13:BP13,"n/a")</x:f>
        <x:v>5</x:v>
      </x:c>
      <x:c r="M13" s="10" t="n">
        <x:v>0</x:v>
      </x:c>
      <x:c r="N13" s="10" t="n">
        <x:v>0</x:v>
      </x:c>
      <x:c r="O13" s="10" t="n">
        <x:v>0</x:v>
      </x:c>
      <x:c r="P13" s="10" t="str">
        <x:v>partial</x:v>
      </x:c>
      <x:c r="Q13" s="10" t="n">
        <x:v>0</x:v>
      </x:c>
      <x:c r="R13" s="10" t="n">
        <x:v>0</x:v>
      </x:c>
      <x:c r="S13" s="10" t="n">
        <x:v>0</x:v>
      </x:c>
      <x:c r="T13" s="10" t="n">
        <x:v>1</x:v>
      </x:c>
      <x:c r="U13" s="10" t="n">
        <x:v>0</x:v>
      </x:c>
      <x:c r="V13" s="10" t="n">
        <x:v>0</x:v>
      </x:c>
      <x:c r="W13" s="10" t="n">
        <x:v>1</x:v>
      </x:c>
      <x:c r="X13" s="10" t="str">
        <x:v>unclear</x:v>
      </x:c>
      <x:c r="Y13" s="10" t="n">
        <x:v>0</x:v>
      </x:c>
      <x:c r="Z13" s="10" t="str">
        <x:v>unclear</x:v>
      </x:c>
      <x:c r="AA13" s="10" t="str">
        <x:v>ambiguous</x:v>
      </x:c>
      <x:c r="AB13" s="10" t="n">
        <x:v>1</x:v>
      </x:c>
      <x:c r="AC13" s="10" t="n">
        <x:v>1</x:v>
      </x:c>
      <x:c r="AD13" s="10" t="n">
        <x:v>0</x:v>
      </x:c>
      <x:c r="AE13" s="10" t="n">
        <x:v>0</x:v>
      </x:c>
      <x:c r="AF13" s="10" t="n">
        <x:v>1</x:v>
      </x:c>
      <x:c r="AG13" s="10" t="n">
        <x:v>0</x:v>
      </x:c>
      <x:c r="AH13" s="10" t="n">
        <x:v>0</x:v>
      </x:c>
      <x:c r="AI13" s="10" t="n">
        <x:v>0</x:v>
      </x:c>
      <x:c r="AJ13" s="10" t="n">
        <x:v>0</x:v>
      </x:c>
      <x:c r="AK13" s="10" t="n">
        <x:v>0</x:v>
      </x:c>
      <x:c r="AL13" s="10" t="n">
        <x:v>1</x:v>
      </x:c>
      <x:c r="AM13" s="10" t="n">
        <x:v>1</x:v>
      </x:c>
      <x:c r="AN13" s="10" t="n">
        <x:v>0</x:v>
      </x:c>
      <x:c r="AO13" s="10" t="n">
        <x:v>1</x:v>
      </x:c>
      <x:c r="AP13" s="10" t="n">
        <x:v>1</x:v>
      </x:c>
      <x:c r="AQ13" s="10" t="str">
        <x:v>partial</x:v>
      </x:c>
      <x:c r="AR13" s="10" t="n">
        <x:v>0</x:v>
      </x:c>
      <x:c r="AS13" s="10" t="n">
        <x:v>1</x:v>
      </x:c>
      <x:c r="AT13" s="10" t="n">
        <x:v>1</x:v>
      </x:c>
      <x:c r="AU13" s="10" t="n">
        <x:v>0</x:v>
      </x:c>
      <x:c r="AV13" s="10" t="n">
        <x:v>1</x:v>
      </x:c>
      <x:c r="AW13" s="10" t="n">
        <x:v>0</x:v>
      </x:c>
      <x:c r="AX13" s="10" t="n">
        <x:v>0</x:v>
      </x:c>
      <x:c r="AY13" s="10" t="n">
        <x:v>0</x:v>
      </x:c>
      <x:c r="AZ13" s="10" t="n">
        <x:v>0</x:v>
      </x:c>
      <x:c r="BA13" s="10" t="n">
        <x:v>0</x:v>
      </x:c>
      <x:c r="BB13" s="10" t="n">
        <x:v>0</x:v>
      </x:c>
      <x:c r="BC13" s="10" t="n">
        <x:v>0</x:v>
      </x:c>
      <x:c r="BD13" s="10" t="n">
        <x:v>0</x:v>
      </x:c>
      <x:c r="BE13" s="10" t="n">
        <x:v>0</x:v>
      </x:c>
      <x:c r="BF13" s="10" t="n">
        <x:v>0</x:v>
      </x:c>
      <x:c r="BG13" s="10" t="n">
        <x:v>0</x:v>
      </x:c>
      <x:c r="BH13" s="10" t="n">
        <x:v>0</x:v>
      </x:c>
      <x:c r="BI13" s="10" t="n">
        <x:v>0</x:v>
      </x:c>
      <x:c r="BJ13" s="10" t="n">
        <x:v>1</x:v>
      </x:c>
      <x:c r="BK13" s="10" t="n">
        <x:v>0</x:v>
      </x:c>
      <x:c r="BL13" s="10" t="n">
        <x:v>0</x:v>
      </x:c>
      <x:c r="BM13" s="10" t="n">
        <x:v>0</x:v>
      </x:c>
      <x:c r="BN13" s="10" t="n">
        <x:v>0</x:v>
      </x:c>
      <x:c r="BO13" s="10" t="n">
        <x:v>1</x:v>
      </x:c>
      <x:c r="BP13" s="10" t="n">
        <x:v>1</x:v>
      </x:c>
      <x:c r="CI13" s="17" t="str">
        <x:v>caution</x:v>
      </x:c>
      <x:c r="CJ13" s="17" t="str">
        <x:v>animal_warning_mountain_refuge</x:v>
      </x:c>
      <x:c r="CK13" s="17" t="n">
        <x:f>SUM(COUNTIF(W13,1),COUNTIF(AA13,1),COUNTIF(AC13,1),COUNTIF(AG13,1),COUNTIF(AH13,1),COUNTIF(AI13,1),COUNTIF(AK13,1),COUNTIF(AL13,1),COUNTIF(AM13,1),COUNTIF(AO13,1),COUNTIF(AP13,1),COUNTIF(AQ13,1),COUNTIF(AV13,1),COUNTIF(AZ13,1),COUNTIF(BA13,1),COUNTIF(BB13,1),COUNTIF(BE13,1),COUNTIF(BF13,1),COUNTIF(BG13,1),COUNTIF(BH13,1),COUNTIF(BI13,1),COUNTIF(BJ13,1),COUNTIF(BK13,1))+0.5*SUM(COUNTIF(W13,"partial"),COUNTIF(AA13,"partial"),COUNTIF(AC13,"partial"),COUNTIF(AG13,"partial"),COUNTIF(AH13,"partial"),COUNTIF(AI13,"partial"),COUNTIF(AK13,"partial"),COUNTIF(AL13,"partial"),COUNTIF(AM13,"partial"),COUNTIF(AO13,"partial"),COUNTIF(AP13,"partial"),COUNTIF(AQ13,"partial"),COUNTIF(AV13,"partial"),COUNTIF(AZ13,"partial"),COUNTIF(BA13,"partial"),COUNTIF(BB13,"partial"),COUNTIF(BE13,"partial"),COUNTIF(BF13,"partial"),COUNTIF(BG13,"partial"),COUNTIF(BH13,"partial"),COUNTIF(BI13,"partial"),COUNTIF(BJ13,"partial"),COUNTIF(BK13,"partial"))+0.5*SUM(COUNTIF(W13,"ambiguous"),COUNTIF(AA13,"ambiguous"),COUNTIF(AC13,"ambiguous"),COUNTIF(AG13,"ambiguous"),COUNTIF(AH13,"ambiguous"),COUNTIF(AI13,"ambiguous"),COUNTIF(AK13,"ambiguous"),COUNTIF(AL13,"ambiguous"),COUNTIF(AM13,"ambiguous"),COUNTIF(AO13,"ambiguous"),COUNTIF(AP13,"ambiguous"),COUNTIF(AQ13,"ambiguous"),COUNTIF(AV13,"ambiguous"),COUNTIF(AZ13,"ambiguous"),COUNTIF(BA13,"ambiguous"),COUNTIF(BB13,"ambiguous"),COUNTIF(BE13,"ambiguous"),COUNTIF(BF13,"ambiguous"),COUNTIF(BG13,"ambiguous"),COUNTIF(BH13,"ambiguous"),COUNTIF(BI13,"ambiguous"),COUNTIF(BJ13,"ambiguous"),COUNTIF(BK13,"ambiguous"))</x:f>
        <x:v>9</x:v>
      </x:c>
      <x:c r="CL13" s="17" t="n">
        <x:f>COUNTIF(M13:BH13,1)+0.5*COUNTIF(M13:BH13,"partial")+0.5*COUNTIF(M13:BH13,"ambiguous")</x:f>
        <x:v>13.5</x:v>
      </x:c>
      <x:c r="CM13" s="17" t="str">
        <x:v>caution_layer</x:v>
      </x:c>
      <x:c r="CN13" s="17" t="str">
        <x:v>Caution row: useful animal-warning/mountain-refuge comparison, but source context and repopulation details need care.</x:v>
      </x:c>
    </x:row>
    <x:row r="14" ht="92" customHeight="1">
      <x:c r="A14" s="10" t="str">
        <x:v>FM-010</x:v>
      </x:c>
      <x:c r="B14" s="10" t="str">
        <x:v>Nahui Atl / Tata and Nene</x:v>
      </x:c>
      <x:c r="C14" s="10" t="str">
        <x:v>Nahua / Aztec-Mexica</x:v>
      </x:c>
      <x:c r="D14" s="10" t="str">
        <x:v>Central Mexico</x:v>
      </x:c>
      <x:c r="E14" s="10" t="str">
        <x:v>Codex Chimalpopoca, Leyenda de los Soles</x:v>
      </x:c>
      <x:c r="F14" s="10" t="str">
        <x:v>Myth-history / world-age cycle</x:v>
      </x:c>
      <x:c r="G14" s="10" t="str">
        <x:v>world-age flood with survivor transformation</x:v>
      </x:c>
      <x:c r="H14" s="10" t="str">
        <x:v>high</x:v>
      </x:c>
      <x:c r="I14" s="10" t="str">
        <x:v>Spanish translation of Nahuatl manuscript; fine details should be checked against original where possible.</x:v>
      </x:c>
      <x:c r="J14" s="10" t="str">
        <x:v>The Water Sun ends in a cosmic 52-year flood. Titlacahuan warns Tata and Nene to enter a hollowed ahuehuetl tree with maize rations. After waters recede they roast fish, smoke reaches the sky, Tezcatlipoca transforms them into dogs, and present humans are later recreated from underworld bones and divine blood.</x:v>
      </x:c>
      <x:c r="K14" s="12" t="n">
        <x:f>COUNTIF(M14:BP14,1)+0.5*COUNTIF(M14:BP14,"partial")</x:f>
        <x:v>22</x:v>
      </x:c>
      <x:c r="L14" s="12" t="n">
        <x:f>COUNTIF(M14:BP14,"partial")+COUNTIF(M14:BP14,"unclear")+COUNTIF(M14:BP14,"ambiguous")+COUNTIF(M14:BP14,"n/a")</x:f>
        <x:v>8</x:v>
      </x:c>
      <x:c r="M14" s="10" t="n">
        <x:v>0</x:v>
      </x:c>
      <x:c r="N14" s="10" t="n">
        <x:v>0</x:v>
      </x:c>
      <x:c r="O14" s="10" t="n">
        <x:v>0</x:v>
      </x:c>
      <x:c r="P14" s="10" t="n">
        <x:v>1</x:v>
      </x:c>
      <x:c r="Q14" s="10" t="n">
        <x:v>1</x:v>
      </x:c>
      <x:c r="R14" s="10" t="str">
        <x:v>partial</x:v>
      </x:c>
      <x:c r="S14" s="10" t="n">
        <x:v>1</x:v>
      </x:c>
      <x:c r="T14" s="10" t="str">
        <x:v>partial</x:v>
      </x:c>
      <x:c r="U14" s="10" t="n">
        <x:v>0</x:v>
      </x:c>
      <x:c r="V14" s="10" t="n">
        <x:v>0</x:v>
      </x:c>
      <x:c r="W14" s="10" t="n">
        <x:v>1</x:v>
      </x:c>
      <x:c r="X14" s="10" t="str">
        <x:v>unclear</x:v>
      </x:c>
      <x:c r="Y14" s="10" t="n">
        <x:v>0</x:v>
      </x:c>
      <x:c r="Z14" s="10" t="n">
        <x:v>1</x:v>
      </x:c>
      <x:c r="AA14" s="10" t="n">
        <x:v>0</x:v>
      </x:c>
      <x:c r="AB14" s="10" t="n">
        <x:v>0</x:v>
      </x:c>
      <x:c r="AC14" s="10" t="n">
        <x:v>1</x:v>
      </x:c>
      <x:c r="AD14" s="10" t="n">
        <x:v>0</x:v>
      </x:c>
      <x:c r="AE14" s="10" t="n">
        <x:v>0</x:v>
      </x:c>
      <x:c r="AF14" s="10" t="n">
        <x:v>0</x:v>
      </x:c>
      <x:c r="AG14" s="10" t="n">
        <x:v>1</x:v>
      </x:c>
      <x:c r="AH14" s="10" t="n">
        <x:v>1</x:v>
      </x:c>
      <x:c r="AI14" s="10" t="str">
        <x:v>partial</x:v>
      </x:c>
      <x:c r="AJ14" s="10" t="n">
        <x:v>0</x:v>
      </x:c>
      <x:c r="AK14" s="10" t="n">
        <x:v>0</x:v>
      </x:c>
      <x:c r="AL14" s="10" t="n">
        <x:v>1</x:v>
      </x:c>
      <x:c r="AM14" s="10" t="n">
        <x:v>0</x:v>
      </x:c>
      <x:c r="AN14" s="10" t="n">
        <x:v>0</x:v>
      </x:c>
      <x:c r="AO14" s="10" t="n">
        <x:v>0</x:v>
      </x:c>
      <x:c r="AP14" s="10" t="n">
        <x:v>1</x:v>
      </x:c>
      <x:c r="AQ14" s="10" t="str">
        <x:v>unclear</x:v>
      </x:c>
      <x:c r="AR14" s="10" t="n">
        <x:v>1</x:v>
      </x:c>
      <x:c r="AS14" s="10" t="n">
        <x:v>0</x:v>
      </x:c>
      <x:c r="AT14" s="10" t="n">
        <x:v>1</x:v>
      </x:c>
      <x:c r="AU14" s="10" t="n">
        <x:v>0</x:v>
      </x:c>
      <x:c r="AV14" s="10" t="n">
        <x:v>1</x:v>
      </x:c>
      <x:c r="AW14" s="10" t="n">
        <x:v>0</x:v>
      </x:c>
      <x:c r="AX14" s="10" t="n">
        <x:v>0</x:v>
      </x:c>
      <x:c r="AY14" s="10" t="n">
        <x:v>1</x:v>
      </x:c>
      <x:c r="AZ14" s="10" t="n">
        <x:v>0</x:v>
      </x:c>
      <x:c r="BA14" s="10" t="str">
        <x:v>partial</x:v>
      </x:c>
      <x:c r="BB14" s="10" t="n">
        <x:v>0</x:v>
      </x:c>
      <x:c r="BC14" s="10" t="n">
        <x:v>1</x:v>
      </x:c>
      <x:c r="BD14" s="10" t="n">
        <x:v>0</x:v>
      </x:c>
      <x:c r="BE14" s="10" t="n">
        <x:v>0</x:v>
      </x:c>
      <x:c r="BF14" s="10" t="n">
        <x:v>0</x:v>
      </x:c>
      <x:c r="BG14" s="10" t="n">
        <x:v>0</x:v>
      </x:c>
      <x:c r="BH14" s="10" t="str">
        <x:v>partial</x:v>
      </x:c>
      <x:c r="BI14" s="10" t="n">
        <x:v>0</x:v>
      </x:c>
      <x:c r="BJ14" s="10" t="n">
        <x:v>1</x:v>
      </x:c>
      <x:c r="BK14" s="10" t="n">
        <x:v>1</x:v>
      </x:c>
      <x:c r="BL14" s="10" t="n">
        <x:v>1</x:v>
      </x:c>
      <x:c r="BM14" s="10" t="str">
        <x:v>partial</x:v>
      </x:c>
      <x:c r="BN14" s="10" t="n">
        <x:v>0</x:v>
      </x:c>
      <x:c r="BO14" s="10" t="n">
        <x:v>1</x:v>
      </x:c>
      <x:c r="BP14" s="10" t="n">
        <x:v>0</x:v>
      </x:c>
      <x:c r="CI14" s="17" t="str">
        <x:v>no</x:v>
      </x:c>
      <x:c r="CJ14" s="17" t="str">
        <x:v>world_age_flood</x:v>
      </x:c>
      <x:c r="CK14" s="17" t="n">
        <x:f>SUM(COUNTIF(W14,1),COUNTIF(AA14,1),COUNTIF(AC14,1),COUNTIF(AG14,1),COUNTIF(AH14,1),COUNTIF(AI14,1),COUNTIF(AK14,1),COUNTIF(AL14,1),COUNTIF(AM14,1),COUNTIF(AO14,1),COUNTIF(AP14,1),COUNTIF(AQ14,1),COUNTIF(AV14,1),COUNTIF(AZ14,1),COUNTIF(BA14,1),COUNTIF(BB14,1),COUNTIF(BE14,1),COUNTIF(BF14,1),COUNTIF(BG14,1),COUNTIF(BH14,1),COUNTIF(BI14,1),COUNTIF(BJ14,1),COUNTIF(BK14,1))+0.5*SUM(COUNTIF(W14,"partial"),COUNTIF(AA14,"partial"),COUNTIF(AC14,"partial"),COUNTIF(AG14,"partial"),COUNTIF(AH14,"partial"),COUNTIF(AI14,"partial"),COUNTIF(AK14,"partial"),COUNTIF(AL14,"partial"),COUNTIF(AM14,"partial"),COUNTIF(AO14,"partial"),COUNTIF(AP14,"partial"),COUNTIF(AQ14,"partial"),COUNTIF(AV14,"partial"),COUNTIF(AZ14,"partial"),COUNTIF(BA14,"partial"),COUNTIF(BB14,"partial"),COUNTIF(BE14,"partial"),COUNTIF(BF14,"partial"),COUNTIF(BG14,"partial"),COUNTIF(BH14,"partial"),COUNTIF(BI14,"partial"),COUNTIF(BJ14,"partial"),COUNTIF(BK14,"partial"))+0.5*SUM(COUNTIF(W14,"ambiguous"),COUNTIF(AA14,"ambiguous"),COUNTIF(AC14,"ambiguous"),COUNTIF(AG14,"ambiguous"),COUNTIF(AH14,"ambiguous"),COUNTIF(AI14,"ambiguous"),COUNTIF(AK14,"ambiguous"),COUNTIF(AL14,"ambiguous"),COUNTIF(AM14,"ambiguous"),COUNTIF(AO14,"ambiguous"),COUNTIF(AP14,"ambiguous"),COUNTIF(AQ14,"ambiguous"),COUNTIF(AV14,"ambiguous"),COUNTIF(AZ14,"ambiguous"),COUNTIF(BA14,"ambiguous"),COUNTIF(BB14,"ambiguous"),COUNTIF(BE14,"ambiguous"),COUNTIF(BF14,"ambiguous"),COUNTIF(BG14,"ambiguous"),COUNTIF(BH14,"ambiguous"),COUNTIF(BI14,"ambiguous"),COUNTIF(BJ14,"ambiguous"),COUNTIF(BK14,"ambiguous"))</x:f>
        <x:v>10.5</x:v>
      </x:c>
      <x:c r="CL14" s="17" t="n">
        <x:f>COUNTIF(M14:BH14,1)+0.5*COUNTIF(M14:BH14,"partial")+0.5*COUNTIF(M14:BH14,"ambiguous")</x:f>
        <x:v>17.5</x:v>
      </x:c>
      <x:c r="CM14" s="17" t="str">
        <x:v>expanded_heatmap</x:v>
      </x:c>
      <x:c r="CN14" s="17" t="str">
        <x:v>Expanded world-age flood row; strong but belongs outside first classic heatmap.</x:v>
      </x:c>
    </x:row>
    <x:row r="15" ht="92" customHeight="1">
      <x:c r="A15" s="10" t="str">
        <x:v>FM-011</x:v>
      </x:c>
      <x:c r="B15" s="10" t="str">
        <x:v>Bergelmir and the Blood Flood</x:v>
      </x:c>
      <x:c r="C15" s="10" t="str">
        <x:v>Norse / Icelandic</x:v>
      </x:c>
      <x:c r="D15" s="10" t="str">
        <x:v>Germanic / North Atlantic</x:v>
      </x:c>
      <x:c r="E15" s="10" t="str">
        <x:v>Prose Edda, Gylfaginning; Vafþrúðnismál support</x:v>
      </x:c>
      <x:c r="F15" s="10" t="str">
        <x:v>Cosmogonic myth</x:v>
      </x:c>
      <x:c r="G15" s="10" t="str">
        <x:v>primordial blood-flood / giant-lineage reset</x:v>
      </x:c>
      <x:c r="H15" s="10" t="str">
        <x:v>medium-high</x:v>
      </x:c>
      <x:c r="I15" s="10" t="str">
        <x:v>Snorri is a 13th-century Christian Icelandic author; lúðr/vessel terminology is debated.</x:v>
      </x:c>
      <x:c r="J15" s="10" t="str">
        <x:v>Before the ordered world, Odin, Vili, and Vé kill Ymir. His blood floods the rime-giants. Bergelmir survives with wife/household in an ambiguous vessel and becomes ancestor of later giants. Ymir's body becomes earth, sea, mountains, sky, and clouds.</x:v>
      </x:c>
      <x:c r="K15" s="12" t="n">
        <x:f>COUNTIF(M15:BP15,1)+0.5*COUNTIF(M15:BP15,"partial")</x:f>
        <x:v>11.5</x:v>
      </x:c>
      <x:c r="L15" s="12" t="n">
        <x:f>COUNTIF(M15:BP15,"partial")+COUNTIF(M15:BP15,"unclear")+COUNTIF(M15:BP15,"ambiguous")+COUNTIF(M15:BP15,"n/a")</x:f>
        <x:v>2</x:v>
      </x:c>
      <x:c r="M15" s="10" t="n">
        <x:v>0</x:v>
      </x:c>
      <x:c r="N15" s="10" t="n">
        <x:v>0</x:v>
      </x:c>
      <x:c r="O15" s="10" t="n">
        <x:v>0</x:v>
      </x:c>
      <x:c r="P15" s="10" t="n">
        <x:v>1</x:v>
      </x:c>
      <x:c r="Q15" s="10" t="n">
        <x:v>0</x:v>
      </x:c>
      <x:c r="R15" s="10" t="n">
        <x:v>0</x:v>
      </x:c>
      <x:c r="S15" s="10" t="n">
        <x:v>0</x:v>
      </x:c>
      <x:c r="T15" s="10" t="n">
        <x:v>0</x:v>
      </x:c>
      <x:c r="U15" s="10" t="n">
        <x:v>1</x:v>
      </x:c>
      <x:c r="V15" s="10" t="n">
        <x:v>0</x:v>
      </x:c>
      <x:c r="W15" s="10" t="n">
        <x:v>1</x:v>
      </x:c>
      <x:c r="X15" s="10" t="str">
        <x:v>unclear</x:v>
      </x:c>
      <x:c r="Y15" s="10" t="n">
        <x:v>0</x:v>
      </x:c>
      <x:c r="Z15" s="10" t="n">
        <x:v>1</x:v>
      </x:c>
      <x:c r="AA15" s="10" t="n">
        <x:v>1</x:v>
      </x:c>
      <x:c r="AB15" s="10" t="n">
        <x:v>0</x:v>
      </x:c>
      <x:c r="AC15" s="10" t="n">
        <x:v>0</x:v>
      </x:c>
      <x:c r="AD15" s="10" t="n">
        <x:v>0</x:v>
      </x:c>
      <x:c r="AE15" s="10" t="n">
        <x:v>0</x:v>
      </x:c>
      <x:c r="AF15" s="10" t="n">
        <x:v>0</x:v>
      </x:c>
      <x:c r="AG15" s="10" t="n">
        <x:v>1</x:v>
      </x:c>
      <x:c r="AH15" s="10" t="str">
        <x:v>partial</x:v>
      </x:c>
      <x:c r="AI15" s="10" t="n">
        <x:v>0</x:v>
      </x:c>
      <x:c r="AJ15" s="10" t="n">
        <x:v>0</x:v>
      </x:c>
      <x:c r="AK15" s="10" t="n">
        <x:v>0</x:v>
      </x:c>
      <x:c r="AL15" s="10" t="n">
        <x:v>0</x:v>
      </x:c>
      <x:c r="AM15" s="10" t="n">
        <x:v>0</x:v>
      </x:c>
      <x:c r="AN15" s="10" t="n">
        <x:v>0</x:v>
      </x:c>
      <x:c r="AO15" s="10" t="n">
        <x:v>0</x:v>
      </x:c>
      <x:c r="AP15" s="10" t="n">
        <x:v>0</x:v>
      </x:c>
      <x:c r="AQ15" s="10" t="n">
        <x:v>0</x:v>
      </x:c>
      <x:c r="AR15" s="10" t="n">
        <x:v>0</x:v>
      </x:c>
      <x:c r="AS15" s="10" t="n">
        <x:v>0</x:v>
      </x:c>
      <x:c r="AT15" s="10" t="n">
        <x:v>1</x:v>
      </x:c>
      <x:c r="AU15" s="10" t="n">
        <x:v>0</x:v>
      </x:c>
      <x:c r="AV15" s="10" t="n">
        <x:v>0</x:v>
      </x:c>
      <x:c r="AW15" s="10" t="n">
        <x:v>1</x:v>
      </x:c>
      <x:c r="AX15" s="10" t="n">
        <x:v>0</x:v>
      </x:c>
      <x:c r="AY15" s="10" t="n">
        <x:v>1</x:v>
      </x:c>
      <x:c r="AZ15" s="10" t="n">
        <x:v>0</x:v>
      </x:c>
      <x:c r="BA15" s="10" t="n">
        <x:v>0</x:v>
      </x:c>
      <x:c r="BB15" s="10" t="n">
        <x:v>0</x:v>
      </x:c>
      <x:c r="BC15" s="10" t="n">
        <x:v>0</x:v>
      </x:c>
      <x:c r="BD15" s="10" t="n">
        <x:v>0</x:v>
      </x:c>
      <x:c r="BE15" s="10" t="n">
        <x:v>0</x:v>
      </x:c>
      <x:c r="BF15" s="10" t="n">
        <x:v>0</x:v>
      </x:c>
      <x:c r="BG15" s="10" t="n">
        <x:v>0</x:v>
      </x:c>
      <x:c r="BH15" s="10" t="n">
        <x:v>1</x:v>
      </x:c>
      <x:c r="BI15" s="10" t="n">
        <x:v>0</x:v>
      </x:c>
      <x:c r="BJ15" s="10" t="n">
        <x:v>0</x:v>
      </x:c>
      <x:c r="BK15" s="10" t="n">
        <x:v>0</x:v>
      </x:c>
      <x:c r="BL15" s="10" t="n">
        <x:v>1</x:v>
      </x:c>
      <x:c r="BM15" s="10" t="n">
        <x:v>0</x:v>
      </x:c>
      <x:c r="BN15" s="10" t="n">
        <x:v>0</x:v>
      </x:c>
      <x:c r="BO15" s="10" t="n">
        <x:v>0</x:v>
      </x:c>
      <x:c r="BP15" s="10" t="n">
        <x:v>0</x:v>
      </x:c>
      <x:c r="CI15" s="17" t="str">
        <x:v>no</x:v>
      </x:c>
      <x:c r="CJ15" s="17" t="str">
        <x:v>primordial_reset</x:v>
      </x:c>
      <x:c r="CK15" s="17" t="n">
        <x:f>SUM(COUNTIF(W15,1),COUNTIF(AA15,1),COUNTIF(AC15,1),COUNTIF(AG15,1),COUNTIF(AH15,1),COUNTIF(AI15,1),COUNTIF(AK15,1),COUNTIF(AL15,1),COUNTIF(AM15,1),COUNTIF(AO15,1),COUNTIF(AP15,1),COUNTIF(AQ15,1),COUNTIF(AV15,1),COUNTIF(AZ15,1),COUNTIF(BA15,1),COUNTIF(BB15,1),COUNTIF(BE15,1),COUNTIF(BF15,1),COUNTIF(BG15,1),COUNTIF(BH15,1),COUNTIF(BI15,1),COUNTIF(BJ15,1),COUNTIF(BK15,1))+0.5*SUM(COUNTIF(W15,"partial"),COUNTIF(AA15,"partial"),COUNTIF(AC15,"partial"),COUNTIF(AG15,"partial"),COUNTIF(AH15,"partial"),COUNTIF(AI15,"partial"),COUNTIF(AK15,"partial"),COUNTIF(AL15,"partial"),COUNTIF(AM15,"partial"),COUNTIF(AO15,"partial"),COUNTIF(AP15,"partial"),COUNTIF(AQ15,"partial"),COUNTIF(AV15,"partial"),COUNTIF(AZ15,"partial"),COUNTIF(BA15,"partial"),COUNTIF(BB15,"partial"),COUNTIF(BE15,"partial"),COUNTIF(BF15,"partial"),COUNTIF(BG15,"partial"),COUNTIF(BH15,"partial"),COUNTIF(BI15,"partial"),COUNTIF(BJ15,"partial"),COUNTIF(BK15,"partial"))+0.5*SUM(COUNTIF(W15,"ambiguous"),COUNTIF(AA15,"ambiguous"),COUNTIF(AC15,"ambiguous"),COUNTIF(AG15,"ambiguous"),COUNTIF(AH15,"ambiguous"),COUNTIF(AI15,"ambiguous"),COUNTIF(AK15,"ambiguous"),COUNTIF(AL15,"ambiguous"),COUNTIF(AM15,"ambiguous"),COUNTIF(AO15,"ambiguous"),COUNTIF(AP15,"ambiguous"),COUNTIF(AQ15,"ambiguous"),COUNTIF(AV15,"ambiguous"),COUNTIF(AZ15,"ambiguous"),COUNTIF(BA15,"ambiguous"),COUNTIF(BB15,"ambiguous"),COUNTIF(BE15,"ambiguous"),COUNTIF(BF15,"ambiguous"),COUNTIF(BG15,"ambiguous"),COUNTIF(BH15,"ambiguous"),COUNTIF(BI15,"ambiguous"),COUNTIF(BJ15,"ambiguous"),COUNTIF(BK15,"ambiguous"))</x:f>
        <x:v>4.5</x:v>
      </x:c>
      <x:c r="CL15" s="17" t="n">
        <x:f>COUNTIF(M15:BH15,1)+0.5*COUNTIF(M15:BH15,"partial")+0.5*COUNTIF(M15:BH15,"ambiguous")</x:f>
        <x:v>10.5</x:v>
      </x:c>
      <x:c r="CM15" s="17" t="str">
        <x:v>expanded_heatmap</x:v>
      </x:c>
      <x:c r="CN15" s="17" t="str">
        <x:v>Expanded primordial blood-flood row; not an ordinary deluge or ark story.</x:v>
      </x:c>
    </x:row>
    <x:row r="16" ht="92" customHeight="1">
      <x:c r="A16" s="10" t="str">
        <x:v>FM-012</x:v>
      </x:c>
      <x:c r="B16" s="10" t="str">
        <x:v>Nuʻu and the Hawaiian Flood</x:v>
      </x:c>
      <x:c r="C16" s="10" t="str">
        <x:v>Hawaiian / Polynesian</x:v>
      </x:c>
      <x:c r="D16" s="10" t="str">
        <x:v>Hawaiʻi</x:v>
      </x:c>
      <x:c r="E16" s="10" t="str">
        <x:v>Fornander Collection Vol. 6; Beckwith Hawaiian Mythology critical notes</x:v>
      </x:c>
      <x:c r="F16" s="10" t="str">
        <x:v>Genealogical myth / layered tradition</x:v>
      </x:c>
      <x:c r="G16" s="10" t="str">
        <x:v>layered sea-flood with biblicalized ark structure</x:v>
      </x:c>
      <x:c r="H16" s="10" t="str">
        <x:v>medium</x:v>
      </x:c>
      <x:c r="I16" s="10" t="str">
        <x:v>Strong biblical analogy flagged by Beckwith; older Hawaiian core may emphasize rising sea and Mauna Kea survival more than ark structure.</x:v>
      </x:c>
      <x:c r="J16" s="10" t="str">
        <x:v>Nuʻu appears during the Era of Overturning and survives Kai-a-Kahinaliʻi in a house-vessel with family in the Fornander version. After landing on Mauna Kea, he makes a misdirected offering to the moon; Kāne corrects and forgives him, leaving a rainbow token. Nuʻu becomes second progenitor of present mankind.</x:v>
      </x:c>
      <x:c r="K16" s="12" t="n">
        <x:f>COUNTIF(M16:BP16,1)+0.5*COUNTIF(M16:BP16,"partial")</x:f>
        <x:v>20.5</x:v>
      </x:c>
      <x:c r="L16" s="12" t="n">
        <x:f>COUNTIF(M16:BP16,"partial")+COUNTIF(M16:BP16,"unclear")+COUNTIF(M16:BP16,"ambiguous")+COUNTIF(M16:BP16,"n/a")</x:f>
        <x:v>12</x:v>
      </x:c>
      <x:c r="M16" s="10" t="str">
        <x:v>unclear</x:v>
      </x:c>
      <x:c r="N16" s="10" t="n">
        <x:v>0</x:v>
      </x:c>
      <x:c r="O16" s="10" t="n">
        <x:v>0</x:v>
      </x:c>
      <x:c r="P16" s="10" t="str">
        <x:v>partial</x:v>
      </x:c>
      <x:c r="Q16" s="10" t="n">
        <x:v>0</x:v>
      </x:c>
      <x:c r="R16" s="10" t="str">
        <x:v>unclear</x:v>
      </x:c>
      <x:c r="S16" s="10" t="n">
        <x:v>0</x:v>
      </x:c>
      <x:c r="T16" s="10" t="n">
        <x:v>1</x:v>
      </x:c>
      <x:c r="U16" s="10" t="n">
        <x:v>0</x:v>
      </x:c>
      <x:c r="V16" s="10" t="n">
        <x:v>0</x:v>
      </x:c>
      <x:c r="W16" s="10" t="n">
        <x:v>1</x:v>
      </x:c>
      <x:c r="X16" s="10" t="str">
        <x:v>partial</x:v>
      </x:c>
      <x:c r="Y16" s="10" t="n">
        <x:v>1</x:v>
      </x:c>
      <x:c r="Z16" s="10" t="str">
        <x:v>partial</x:v>
      </x:c>
      <x:c r="AA16" s="10" t="n">
        <x:v>1</x:v>
      </x:c>
      <x:c r="AB16" s="10" t="n">
        <x:v>0</x:v>
      </x:c>
      <x:c r="AC16" s="10" t="str">
        <x:v>partial</x:v>
      </x:c>
      <x:c r="AD16" s="10" t="n">
        <x:v>0</x:v>
      </x:c>
      <x:c r="AE16" s="10" t="n">
        <x:v>0</x:v>
      </x:c>
      <x:c r="AF16" s="10" t="n">
        <x:v>0</x:v>
      </x:c>
      <x:c r="AG16" s="10" t="n">
        <x:v>1</x:v>
      </x:c>
      <x:c r="AH16" s="10" t="n">
        <x:v>0</x:v>
      </x:c>
      <x:c r="AI16" s="10" t="str">
        <x:v>partial</x:v>
      </x:c>
      <x:c r="AJ16" s="10" t="n">
        <x:v>0</x:v>
      </x:c>
      <x:c r="AK16" s="10" t="n">
        <x:v>0</x:v>
      </x:c>
      <x:c r="AL16" s="10" t="n">
        <x:v>0</x:v>
      </x:c>
      <x:c r="AM16" s="10" t="n">
        <x:v>0</x:v>
      </x:c>
      <x:c r="AN16" s="10" t="n">
        <x:v>0</x:v>
      </x:c>
      <x:c r="AO16" s="10" t="n">
        <x:v>1</x:v>
      </x:c>
      <x:c r="AP16" s="10" t="n">
        <x:v>1</x:v>
      </x:c>
      <x:c r="AQ16" s="10" t="str">
        <x:v>unclear</x:v>
      </x:c>
      <x:c r="AR16" s="10" t="n">
        <x:v>0</x:v>
      </x:c>
      <x:c r="AS16" s="10" t="n">
        <x:v>1</x:v>
      </x:c>
      <x:c r="AT16" s="10" t="n">
        <x:v>1</x:v>
      </x:c>
      <x:c r="AU16" s="10" t="str">
        <x:v>partial</x:v>
      </x:c>
      <x:c r="AV16" s="10" t="n">
        <x:v>1</x:v>
      </x:c>
      <x:c r="AW16" s="10" t="n">
        <x:v>0</x:v>
      </x:c>
      <x:c r="AX16" s="10" t="n">
        <x:v>0</x:v>
      </x:c>
      <x:c r="AY16" s="10" t="str">
        <x:v>partial</x:v>
      </x:c>
      <x:c r="AZ16" s="10" t="n">
        <x:v>0</x:v>
      </x:c>
      <x:c r="BA16" s="10" t="n">
        <x:v>1</x:v>
      </x:c>
      <x:c r="BB16" s="10" t="str">
        <x:v>partial</x:v>
      </x:c>
      <x:c r="BC16" s="10" t="n">
        <x:v>1</x:v>
      </x:c>
      <x:c r="BD16" s="10" t="n">
        <x:v>0</x:v>
      </x:c>
      <x:c r="BE16" s="10" t="n">
        <x:v>1</x:v>
      </x:c>
      <x:c r="BF16" s="10" t="n">
        <x:v>1</x:v>
      </x:c>
      <x:c r="BG16" s="10" t="n">
        <x:v>0</x:v>
      </x:c>
      <x:c r="BH16" s="10" t="str">
        <x:v>partial</x:v>
      </x:c>
      <x:c r="BI16" s="10" t="n">
        <x:v>0</x:v>
      </x:c>
      <x:c r="BJ16" s="10" t="n">
        <x:v>1</x:v>
      </x:c>
      <x:c r="BK16" s="10" t="n">
        <x:v>0</x:v>
      </x:c>
      <x:c r="BL16" s="10" t="n">
        <x:v>0</x:v>
      </x:c>
      <x:c r="BM16" s="10" t="n">
        <x:v>0</x:v>
      </x:c>
      <x:c r="BN16" s="10" t="n">
        <x:v>0</x:v>
      </x:c>
      <x:c r="BO16" s="10" t="n">
        <x:v>0</x:v>
      </x:c>
      <x:c r="BP16" s="10" t="n">
        <x:v>1</x:v>
      </x:c>
      <x:c r="CI16" s="17" t="str">
        <x:v>caution</x:v>
      </x:c>
      <x:c r="CJ16" s="17" t="str">
        <x:v>biblicalized_or_layered</x:v>
      </x:c>
      <x:c r="CK16" s="17" t="n">
        <x:f>SUM(COUNTIF(W16,1),COUNTIF(AA16,1),COUNTIF(AC16,1),COUNTIF(AG16,1),COUNTIF(AH16,1),COUNTIF(AI16,1),COUNTIF(AK16,1),COUNTIF(AL16,1),COUNTIF(AM16,1),COUNTIF(AO16,1),COUNTIF(AP16,1),COUNTIF(AQ16,1),COUNTIF(AV16,1),COUNTIF(AZ16,1),COUNTIF(BA16,1),COUNTIF(BB16,1),COUNTIF(BE16,1),COUNTIF(BF16,1),COUNTIF(BG16,1),COUNTIF(BH16,1),COUNTIF(BI16,1),COUNTIF(BJ16,1),COUNTIF(BK16,1))+0.5*SUM(COUNTIF(W16,"partial"),COUNTIF(AA16,"partial"),COUNTIF(AC16,"partial"),COUNTIF(AG16,"partial"),COUNTIF(AH16,"partial"),COUNTIF(AI16,"partial"),COUNTIF(AK16,"partial"),COUNTIF(AL16,"partial"),COUNTIF(AM16,"partial"),COUNTIF(AO16,"partial"),COUNTIF(AP16,"partial"),COUNTIF(AQ16,"partial"),COUNTIF(AV16,"partial"),COUNTIF(AZ16,"partial"),COUNTIF(BA16,"partial"),COUNTIF(BB16,"partial"),COUNTIF(BE16,"partial"),COUNTIF(BF16,"partial"),COUNTIF(BG16,"partial"),COUNTIF(BH16,"partial"),COUNTIF(BI16,"partial"),COUNTIF(BJ16,"partial"),COUNTIF(BK16,"partial"))+0.5*SUM(COUNTIF(W16,"ambiguous"),COUNTIF(AA16,"ambiguous"),COUNTIF(AC16,"ambiguous"),COUNTIF(AG16,"ambiguous"),COUNTIF(AH16,"ambiguous"),COUNTIF(AI16,"ambiguous"),COUNTIF(AK16,"ambiguous"),COUNTIF(AL16,"ambiguous"),COUNTIF(AM16,"ambiguous"),COUNTIF(AO16,"ambiguous"),COUNTIF(AP16,"ambiguous"),COUNTIF(AQ16,"ambiguous"),COUNTIF(AV16,"ambiguous"),COUNTIF(AZ16,"ambiguous"),COUNTIF(BA16,"ambiguous"),COUNTIF(BB16,"ambiguous"),COUNTIF(BE16,"ambiguous"),COUNTIF(BF16,"ambiguous"),COUNTIF(BG16,"ambiguous"),COUNTIF(BH16,"ambiguous"),COUNTIF(BI16,"ambiguous"),COUNTIF(BJ16,"ambiguous"),COUNTIF(BK16,"ambiguous"))</x:f>
        <x:v>12</x:v>
      </x:c>
      <x:c r="CL16" s="17" t="n">
        <x:f>COUNTIF(M16:BH16,1)+0.5*COUNTIF(M16:BH16,"partial")+0.5*COUNTIF(M16:BH16,"ambiguous")</x:f>
        <x:v>18.5</x:v>
      </x:c>
      <x:c r="CM16" s="17" t="str">
        <x:v>caution_layer</x:v>
      </x:c>
      <x:c r="CN16" s="17" t="str">
        <x:v>Caution row due to biblicalized/layered tradition; useful for expanded comparison.</x:v>
      </x:c>
    </x:row>
  </x:sheetData>
  <x:conditionalFormatting sqref="M5:BP16">
    <x:cfRule type="cellIs" dxfId="0" priority="1">
      <x:formula>1</x:formula>
    </x:cfRule>
    <x:cfRule type="cellIs" dxfId="1" priority="2">
      <x:formula>0</x:formula>
    </x:cfRule>
    <x:cfRule type="containsText" dxfId="2" priority="3" operator="containsText" text="partial"/>
    <x:cfRule type="containsText" dxfId="3" priority="4" operator="containsText" text="unclear"/>
    <x:cfRule type="containsText" dxfId="4" priority="5" operator="containsText" text="ambiguous"/>
    <x:cfRule type="containsText" dxfId="5" priority="6" operator="containsText" text="n/a"/>
  </x:conditionalFormatting>
  <x:dataValidations count="1">
    <x:dataValidation type="list" allowBlank="1" showDropDown="0" sqref="M5:BP16">
      <x:formula1>"1,0,partial,unclear,ambiguous,n/a"</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0" hidden="0" customWidth="1"/>
    <x:col min="3" max="3" width="55" hidden="0" customWidth="1"/>
    <x:col min="4" max="4" width="55" hidden="0" customWidth="1"/>
  </x:cols>
  <x:sheetData>
    <x:row r="1">
      <x:c r="A1" s="2" t="str">
        <x:v>Myth Migration — Motif Codebook</x:v>
      </x:c>
    </x:row>
    <x:row r="2">
      <x:c r="A2" s="4" t="str">
        <x:v>Use this sheet to keep column meanings stable before building heatmaps or similarity matrices.</x:v>
      </x:c>
    </x:row>
    <x:row r="4" ht="36" customHeight="1">
      <x:c r="A4" s="7" t="str">
        <x:v>column_name</x:v>
      </x:c>
      <x:c r="B4" s="7" t="str">
        <x:v>category</x:v>
      </x:c>
      <x:c r="C4" s="7" t="str">
        <x:v>definition</x:v>
      </x:c>
      <x:c r="D4" s="7" t="str">
        <x:v>coding_notes</x:v>
      </x:c>
    </x:row>
    <x:row r="5" ht="48" customHeight="1">
      <x:c r="A5" s="10" t="str">
        <x:v>moral_cause</x:v>
      </x:c>
      <x:c r="B5" s="10" t="str">
        <x:v>cause</x:v>
      </x:c>
      <x:c r="C5" s="10" t="str">
        <x:v>Flood/destruction is motivated by human wickedness, violence, impiety, or moral failure.</x:v>
      </x:c>
      <x:c r="D5" s="10" t="str">
        <x:v>Use partial for spiritual/ritual failure that is not moral corruption in the Genesis sense.</x:v>
      </x:c>
    </x:row>
    <x:row r="6" ht="48" customHeight="1">
      <x:c r="A6" s="10" t="str">
        <x:v>noise_or_overpopulation_cause</x:v>
      </x:c>
      <x:c r="B6" s="10" t="str">
        <x:v>cause</x:v>
      </x:c>
      <x:c r="C6" s="10" t="str">
        <x:v>Flood is caused by human noise, disturbance, or population pressure.</x:v>
      </x:c>
      <x:c r="D6" s="10" t="str">
        <x:v>Common in Mesopotamian Atrahasis/Eridu-type traditions.</x:v>
      </x:c>
    </x:row>
    <x:row r="7" ht="48" customHeight="1">
      <x:c r="A7" s="10" t="str">
        <x:v>failed_creation_cause</x:v>
      </x:c>
      <x:c r="B7" s="10" t="str">
        <x:v>cause</x:v>
      </x:c>
      <x:c r="C7" s="10" t="str">
        <x:v>Destroyed beings are failed prototypes or incomplete creations.</x:v>
      </x:c>
      <x:c r="D7" s="10" t="str">
        <x:v>Used for Popol Vuh wooden people.</x:v>
      </x:c>
    </x:row>
    <x:row r="8" ht="48" customHeight="1">
      <x:c r="A8" s="10" t="str">
        <x:v>primordial_or_cosmic_disorder</x:v>
      </x:c>
      <x:c r="B8" s="10" t="str">
        <x:v>cause/framing</x:v>
      </x:c>
      <x:c r="C8" s="10" t="str">
        <x:v>Flood belongs to early-world disorder, cosmogony, or cosmic reset rather than ordinary human history.</x:v>
      </x:c>
      <x:c r="D8" s="10" t="str">
        <x:v>Includes Yu, Popol Vuh, Nahui Atl, Bergelmir, and Nuʻu partial.</x:v>
      </x:c>
    </x:row>
    <x:row r="9" ht="48" customHeight="1">
      <x:c r="A9" s="10" t="str">
        <x:v>world_age_cycle</x:v>
      </x:c>
      <x:c r="B9" s="10" t="str">
        <x:v>framing</x:v>
      </x:c>
      <x:c r="C9" s="10" t="str">
        <x:v>Flood is one catastrophe in a repeated sequence of cosmic ages/worlds.</x:v>
      </x:c>
      <x:c r="D9" s="10" t="str">
        <x:v>Used for Nahui Atl/Five Suns.</x:v>
      </x:c>
    </x:row>
    <x:row r="10" ht="48" customHeight="1">
      <x:c r="A10" s="10" t="str">
        <x:v>divine_decision_to_flood_or_destroy</x:v>
      </x:c>
      <x:c r="B10" s="10" t="str">
        <x:v>cause/agency</x:v>
      </x:c>
      <x:c r="C10" s="10" t="str">
        <x:v>A deity or divine power intentionally decides to send or devise destruction by flood/water-like catastrophe.</x:v>
      </x:c>
      <x:c r="D10" s="10" t="str">
        <x:v>Use partial when divine agency is implied but not clearly stated.</x:v>
      </x:c>
    </x:row>
    <x:row r="11" ht="48" customHeight="1">
      <x:c r="A11" s="10" t="str">
        <x:v>council_or_multiple_deities</x:v>
      </x:c>
      <x:c r="B11" s="10" t="str">
        <x:v>cause/agency</x:v>
      </x:c>
      <x:c r="C11" s="10" t="str">
        <x:v>Multiple gods, a divine council, or creator group participates in the decision or aftermath.</x:v>
      </x:c>
      <x:c r="D11" s="10" t="str">
        <x:v>Includes Mesopotamian councils and creator councils.</x:v>
      </x:c>
    </x:row>
    <x:row r="12" ht="48" customHeight="1">
      <x:c r="A12" s="10" t="str">
        <x:v>flood_as_natural_or_sea_overflow</x:v>
      </x:c>
      <x:c r="B12" s="10" t="str">
        <x:v>cause/framing</x:v>
      </x:c>
      <x:c r="C12" s="10" t="str">
        <x:v>Flood is framed as rising/overflowing waters or natural/cosmic water disorder rather than explicit punishment.</x:v>
      </x:c>
      <x:c r="D12" s="10" t="str">
        <x:v>Used for Yu, Huarochirí, Nuʻu, and partial Nahui Atl.</x:v>
      </x:c>
    </x:row>
    <x:row r="13" ht="48" customHeight="1">
      <x:c r="A13" s="10" t="str">
        <x:v>blood_flood</x:v>
      </x:c>
      <x:c r="B13" s="10" t="str">
        <x:v>catastrophe type</x:v>
      </x:c>
      <x:c r="C13" s="10" t="str">
        <x:v>Flood medium is blood rather than ordinary water.</x:v>
      </x:c>
      <x:c r="D13" s="10" t="str">
        <x:v>Used for Bergelmir/Ymir.</x:v>
      </x:c>
    </x:row>
    <x:row r="14" ht="48" customHeight="1">
      <x:c r="A14" s="10" t="str">
        <x:v>flood_control_governance_problem</x:v>
      </x:c>
      <x:c r="B14" s="10" t="str">
        <x:v>story type</x:v>
      </x:c>
      <x:c r="C14" s="10" t="str">
        <x:v>Flood is a public-order/governance problem solved through administration or infrastructure.</x:v>
      </x:c>
      <x:c r="D14" s="10" t="str">
        <x:v>Used for Yu.</x:v>
      </x:c>
    </x:row>
    <x:row r="15" ht="48" customHeight="1">
      <x:c r="A15" s="10" t="str">
        <x:v>chosen_survivor_or_group</x:v>
      </x:c>
      <x:c r="B15" s="10" t="str">
        <x:v>survival</x:v>
      </x:c>
      <x:c r="C15" s="10" t="str">
        <x:v>A named or singled-out survivor, couple, household, or preservation group survives the flood.</x:v>
      </x:c>
      <x:c r="D15" s="10" t="str">
        <x:v>This column captures survival, not necessarily moral election.</x:v>
      </x:c>
    </x:row>
    <x:row r="16" ht="48" customHeight="1">
      <x:c r="A16" s="10" t="str">
        <x:v>survivor_righteous_pious_religious</x:v>
      </x:c>
      <x:c r="B16" s="10" t="str">
        <x:v>survival</x:v>
      </x:c>
      <x:c r="C16" s="10" t="str">
        <x:v>Survivor is marked as righteous, pious, priestly, kahuna, reverent, or religiously favored.</x:v>
      </x:c>
      <x:c r="D16" s="10" t="str">
        <x:v>Use unclear when survival is not morally explained.</x:v>
      </x:c>
    </x:row>
    <x:row r="17" ht="48" customHeight="1">
      <x:c r="A17" s="10" t="str">
        <x:v>survivor_is_king_priest_ruler</x:v>
      </x:c>
      <x:c r="B17" s="10" t="str">
        <x:v>survival/status</x:v>
      </x:c>
      <x:c r="C17" s="10" t="str">
        <x:v>Survivor is a king, priest, ruler, kahuna, or similar high-status ritual/political figure.</x:v>
      </x:c>
      <x:c r="D17" s="10" t="str">
        <x:v>Ziusudra and Nuʻu are strong examples.</x:v>
      </x:c>
    </x:row>
    <x:row r="18" ht="48" customHeight="1">
      <x:c r="A18" s="10" t="str">
        <x:v>survivor_couple</x:v>
      </x:c>
      <x:c r="B18" s="10" t="str">
        <x:v>survival</x:v>
      </x:c>
      <x:c r="C18" s="10" t="str">
        <x:v>A male-female pair is central to survival or later restoration.</x:v>
      </x:c>
      <x:c r="D18" s="10" t="str">
        <x:v>Use partial when a wife survives but the narrative is not structurally about a couple.</x:v>
      </x:c>
    </x:row>
    <x:row r="19" ht="48" customHeight="1">
      <x:c r="A19" s="10" t="str">
        <x:v>family_or_household_saved</x:v>
      </x:c>
      <x:c r="B19" s="10" t="str">
        <x:v>survival</x:v>
      </x:c>
      <x:c r="C19" s="10" t="str">
        <x:v>Family, kin, wife/children, or household survives with the main survivor.</x:v>
      </x:c>
      <x:c r="D19" s="10" t="str">
        <x:v>Use ambiguous when the source conflicts internally.</x:v>
      </x:c>
    </x:row>
    <x:row r="20" ht="48" customHeight="1">
      <x:c r="A20" s="10" t="str">
        <x:v>animal_or_supernatural_helper_warning</x:v>
      </x:c>
      <x:c r="B20" s="10" t="str">
        <x:v>warning</x:v>
      </x:c>
      <x:c r="C20" s="10" t="str">
        <x:v>A fish, llama, or other animal/supernatural helper warns or guides the survivor.</x:v>
      </x:c>
      <x:c r="D20" s="10" t="str">
        <x:v>Includes Manu's fish and Huarochirí's llama.</x:v>
      </x:c>
    </x:row>
    <x:row r="21" ht="48" customHeight="1">
      <x:c r="A21" s="10" t="str">
        <x:v>divine_or_supernatural_warning</x:v>
      </x:c>
      <x:c r="B21" s="10" t="str">
        <x:v>warning</x:v>
      </x:c>
      <x:c r="C21" s="10" t="str">
        <x:v>A deity, supernatural being, culture hero, prophetic animal, or divine figure gives advance warning.</x:v>
      </x:c>
      <x:c r="D21" s="10" t="str">
        <x:v>Broader than direct divine warning.</x:v>
      </x:c>
    </x:row>
    <x:row r="22" ht="48" customHeight="1">
      <x:c r="A22" s="10" t="str">
        <x:v>warning_secret_indirect_wall</x:v>
      </x:c>
      <x:c r="B22" s="10" t="str">
        <x:v>warning</x:v>
      </x:c>
      <x:c r="C22" s="10" t="str">
        <x:v>Warning is secret, indirect, or delivered through a wall/reed wall.</x:v>
      </x:c>
      <x:c r="D22" s="10" t="str">
        <x:v>Strong Mesopotamian motif.</x:v>
      </x:c>
    </x:row>
    <x:row r="23" ht="48" customHeight="1">
      <x:c r="A23" s="10" t="str">
        <x:v>dream_warning</x:v>
      </x:c>
      <x:c r="B23" s="10" t="str">
        <x:v>warning</x:v>
      </x:c>
      <x:c r="C23" s="10" t="str">
        <x:v>Warning is delivered through or associated with a dream.</x:v>
      </x:c>
      <x:c r="D23" s="10" t="str">
        <x:v>Atrahasis.</x:v>
      </x:c>
    </x:row>
    <x:row r="24" ht="48" customHeight="1">
      <x:c r="A24" s="10" t="str">
        <x:v>specific_warning_timing</x:v>
      </x:c>
      <x:c r="B24" s="10" t="str">
        <x:v>warning</x:v>
      </x:c>
      <x:c r="C24" s="10" t="str">
        <x:v>Source gives a specific warning time or entry time before the flood.</x:v>
      </x:c>
      <x:c r="D24" s="10" t="str">
        <x:v>Examples: Genesis seven days, Huarochirí five days.</x:v>
      </x:c>
    </x:row>
    <x:row r="25" ht="48" customHeight="1">
      <x:c r="A25" s="10" t="str">
        <x:v>boat_or_vessel</x:v>
      </x:c>
      <x:c r="B25" s="10" t="str">
        <x:v>vessel</x:v>
      </x:c>
      <x:c r="C25" s="10" t="str">
        <x:v>Any ark, boat, ship, chest, tree-vessel, or ambiguous floating survival vessel is present.</x:v>
      </x:c>
      <x:c r="D25" s="10" t="str">
        <x:v>Broad vessel marker.</x:v>
      </x:c>
    </x:row>
    <x:row r="26" ht="48" customHeight="1">
      <x:c r="A26" s="10" t="str">
        <x:v>non_boat_container_or_tree_chest_vessel</x:v>
      </x:c>
      <x:c r="B26" s="10" t="str">
        <x:v>vessel</x:v>
      </x:c>
      <x:c r="C26" s="10" t="str">
        <x:v>The refuge is a chest, hollowed tree, log, ambiguous lúðr, or other non-standard boat form.</x:v>
      </x:c>
      <x:c r="D26" s="10" t="str">
        <x:v>Use with boat_or_vessel if it functions as a vessel.</x:v>
      </x:c>
    </x:row>
    <x:row r="27" ht="48" customHeight="1">
      <x:c r="A27" s="10" t="str">
        <x:v>construction_instructions</x:v>
      </x:c>
      <x:c r="B27" s="10" t="str">
        <x:v>vessel</x:v>
      </x:c>
      <x:c r="C27" s="10" t="str">
        <x:v>Survivor receives instructions to build, hollow, prepare, roof, seal, or otherwise construct the refuge.</x:v>
      </x:c>
      <x:c r="D27" s="10" t="str">
        <x:v>Partial for minimal instructions.</x:v>
      </x:c>
    </x:row>
    <x:row r="28" ht="48" customHeight="1">
      <x:c r="A28" s="10" t="str">
        <x:v>specific_vessel_dimensions</x:v>
      </x:c>
      <x:c r="B28" s="10" t="str">
        <x:v>vessel</x:v>
      </x:c>
      <x:c r="C28" s="10" t="str">
        <x:v>The source gives specific vessel dimensions or geometry.</x:v>
      </x:c>
      <x:c r="D28" s="10" t="str">
        <x:v>Genesis/Gilgamesh strong; many others absent.</x:v>
      </x:c>
    </x:row>
    <x:row r="29" ht="48" customHeight="1">
      <x:c r="A29" s="10" t="str">
        <x:v>pitch_or_waterproofing</x:v>
      </x:c>
      <x:c r="B29" s="10" t="str">
        <x:v>vessel</x:v>
      </x:c>
      <x:c r="C29" s="10" t="str">
        <x:v>Pitch, bitumen, waterproofing, or sealing material is stated.</x:v>
      </x:c>
      <x:c r="D29" s="10" t="str">
        <x:v>Genesis, Gilgamesh, Atrahasis.</x:v>
      </x:c>
    </x:row>
    <x:row r="30" ht="48" customHeight="1">
      <x:c r="A30" s="10" t="str">
        <x:v>food_stored_or_rationed</x:v>
      </x:c>
      <x:c r="B30" s="10" t="str">
        <x:v>vessel/survival</x:v>
      </x:c>
      <x:c r="C30" s="10" t="str">
        <x:v>Food, provisions, or rationing instructions are given for survival.</x:v>
      </x:c>
      <x:c r="D30" s="10" t="str">
        <x:v>Includes Deucalion provisions, Huarochirí five-day food, Nahui Atl maize.</x:v>
      </x:c>
    </x:row>
    <x:row r="31" ht="48" customHeight="1">
      <x:c r="A31" s="10" t="str">
        <x:v>animals_preserved_or_co_survive</x:v>
      </x:c>
      <x:c r="B31" s="10" t="str">
        <x:v>life preservation</x:v>
      </x:c>
      <x:c r="C31" s="10" t="str">
        <x:v>Animals are preserved, carried, gathered, or explicitly co-survive the flood.</x:v>
      </x:c>
      <x:c r="D31" s="10" t="str">
        <x:v>Distinguish collected animals from self-gathering animals in notes.</x:v>
      </x:c>
    </x:row>
    <x:row r="32" ht="48" customHeight="1">
      <x:c r="A32" s="10" t="str">
        <x:v>civilization_knowledge_or_craftsmen_preserved</x:v>
      </x:c>
      <x:c r="B32" s="10" t="str">
        <x:v>life preservation</x:v>
      </x:c>
      <x:c r="C32" s="10" t="str">
        <x:v>Craftsmen, technical knowledge, agriculture, teaching, or civilization knowledge is preserved/transmitted.</x:v>
      </x:c>
      <x:c r="D32" s="10" t="str">
        <x:v>Gilgamesh and Yu are strong examples.</x:v>
      </x:c>
    </x:row>
    <x:row r="33" ht="48" customHeight="1">
      <x:c r="A33" s="10" t="str">
        <x:v>mountain_landing_or_refuge</x:v>
      </x:c>
      <x:c r="B33" s="10" t="str">
        <x:v>survival/geography</x:v>
      </x:c>
      <x:c r="C33" s="10" t="str">
        <x:v>Vessel lands on a mountain or survival happens on high ground/mountain refuge.</x:v>
      </x:c>
      <x:c r="D33" s="10" t="str">
        <x:v>Includes Ararat, Nimush, Parnassus, northern mountain, Huillcacoto, Mauna Kea.</x:v>
      </x:c>
    </x:row>
    <x:row r="34" ht="48" customHeight="1">
      <x:c r="A34" s="10" t="str">
        <x:v>waters_recede_or_subside</x:v>
      </x:c>
      <x:c r="B34" s="10" t="str">
        <x:v>catastrophe sequence</x:v>
      </x:c>
      <x:c r="C34" s="10" t="str">
        <x:v>Text narrates waters calming, decreasing, retreating, drying, or being regulated.</x:v>
      </x:c>
      <x:c r="D34" s="10" t="str">
        <x:v>Yu is partial because waters are managed rather than naturally receding.</x:v>
      </x:c>
    </x:row>
    <x:row r="35" ht="48" customHeight="1">
      <x:c r="A35" s="10" t="str">
        <x:v>storm_or_rain</x:v>
      </x:c>
      <x:c r="B35" s="10" t="str">
        <x:v>catastrophe type</x:v>
      </x:c>
      <x:c r="C35" s="10" t="str">
        <x:v>Flood involves rain, storm, black cloud, storm gods, resin/black rain, or similar weather imagery.</x:v>
      </x:c>
      <x:c r="D35" s="10" t="str">
        <x:v>Unclear where water source is not described.</x:v>
      </x:c>
    </x:row>
    <x:row r="36" ht="48" customHeight="1">
      <x:c r="A36" s="10" t="str">
        <x:v>water_from_above_and_below_or_cosmic_sources</x:v>
      </x:c>
      <x:c r="B36" s="10" t="str">
        <x:v>catastrophe type</x:v>
      </x:c>
      <x:c r="C36" s="10" t="str">
        <x:v>Flood involves cosmic water sources, heaven/deep imagery, sky-water collapse, or similar vertical cosmic water structure.</x:v>
      </x:c>
      <x:c r="D36" s="10" t="str">
        <x:v>Genesis and Nahui Atl are strong examples.</x:v>
      </x:c>
    </x:row>
    <x:row r="37" ht="48" customHeight="1">
      <x:c r="A37" s="10" t="str">
        <x:v>sea_lake_overflow</x:v>
      </x:c>
      <x:c r="B37" s="10" t="str">
        <x:v>catastrophe type</x:v>
      </x:c>
      <x:c r="C37" s="10" t="str">
        <x:v>Flood is specifically sea, lake, or Mother Lake overflow/rising sea.</x:v>
      </x:c>
      <x:c r="D37" s="10" t="str">
        <x:v>Huarochirí and Nuʻu are strong examples.</x:v>
      </x:c>
    </x:row>
    <x:row r="38" ht="48" customHeight="1">
      <x:c r="A38" s="10" t="str">
        <x:v>totalizing_flood_language</x:v>
      </x:c>
      <x:c r="B38" s="10" t="str">
        <x:v>scope</x:v>
      </x:c>
      <x:c r="C38" s="10" t="str">
        <x:v>Text uses global/world/all-life/total destruction language.</x:v>
      </x:c>
      <x:c r="D38" s="10" t="str">
        <x:v>This is narrative scope, not modern geological claim.</x:v>
      </x:c>
    </x:row>
    <x:row r="39" ht="48" customHeight="1">
      <x:c r="A39" s="10" t="str">
        <x:v>regional_flood_language</x:v>
      </x:c>
      <x:c r="B39" s="10" t="str">
        <x:v>scope</x:v>
      </x:c>
      <x:c r="C39" s="10" t="str">
        <x:v>Text limits or strongly locates the flood to a region/culture area.</x:v>
      </x:c>
      <x:c r="D39" s="10" t="str">
        <x:v>Deucalion Greece and Yu Middle Kingdom are examples.</x:v>
      </x:c>
    </x:row>
    <x:row r="40" ht="48" customHeight="1">
      <x:c r="A40" s="10" t="str">
        <x:v>humanity_destroyed_or_reset</x:v>
      </x:c>
      <x:c r="B40" s="10" t="str">
        <x:v>destruction</x:v>
      </x:c>
      <x:c r="C40" s="10" t="str">
        <x:v>Humans or human-like beings are destroyed, reset, or reduced to a remnant.</x:v>
      </x:c>
      <x:c r="D40" s="10" t="str">
        <x:v>Not used when victims are giants only.</x:v>
      </x:c>
    </x:row>
    <x:row r="41" ht="48" customHeight="1">
      <x:c r="A41" s="10" t="str">
        <x:v>nonhuman_or_giant_population_destroyed</x:v>
      </x:c>
      <x:c r="B41" s="10" t="str">
        <x:v>destruction</x:v>
      </x:c>
      <x:c r="C41" s="10" t="str">
        <x:v>A nonhuman population such as giants or all creatures is destroyed/reset.</x:v>
      </x:c>
      <x:c r="D41" s="10" t="str">
        <x:v>Used for Bergelmir and Manu.</x:v>
      </x:c>
    </x:row>
    <x:row r="42" ht="48" customHeight="1">
      <x:c r="A42" s="10" t="str">
        <x:v>animals_or_objects_rebel</x:v>
      </x:c>
      <x:c r="B42" s="10" t="str">
        <x:v>destruction</x:v>
      </x:c>
      <x:c r="C42" s="10" t="str">
        <x:v>Animals, tools, or domestic objects turn against humans.</x:v>
      </x:c>
      <x:c r="D42" s="10" t="str">
        <x:v>Popol Vuh.</x:v>
      </x:c>
    </x:row>
    <x:row r="43" ht="48" customHeight="1">
      <x:c r="A43" s="10" t="str">
        <x:v>transformation_after_catastrophe</x:v>
      </x:c>
      <x:c r="B43" s="10" t="str">
        <x:v>aftermath</x:v>
      </x:c>
      <x:c r="C43" s="10" t="str">
        <x:v>Victims, survivors, or cosmic materials transform after the catastrophe.</x:v>
      </x:c>
      <x:c r="D43" s="10" t="str">
        <x:v>Examples: humans to fish/dogs, monkeys, Ymir body to world.</x:v>
      </x:c>
    </x:row>
    <x:row r="44" ht="48" customHeight="1">
      <x:c r="A44" s="10" t="str">
        <x:v>bird_test</x:v>
      </x:c>
      <x:c r="B44" s="10" t="str">
        <x:v>aftermath</x:v>
      </x:c>
      <x:c r="C44" s="10" t="str">
        <x:v>Birds are released to test whether land is available or waters have receded.</x:v>
      </x:c>
      <x:c r="D44" s="10" t="str">
        <x:v>Genesis and Gilgamesh.</x:v>
      </x:c>
    </x:row>
    <x:row r="45" ht="48" customHeight="1">
      <x:c r="A45" s="10" t="str">
        <x:v>post_flood_sacrifice_or_offering</x:v>
      </x:c>
      <x:c r="B45" s="10" t="str">
        <x:v>aftermath/ritual</x:v>
      </x:c>
      <x:c r="C45" s="10" t="str">
        <x:v>Survivor makes a sacrifice, offering, food/fire act, or ritualized post-flood act.</x:v>
      </x:c>
      <x:c r="D45" s="10" t="str">
        <x:v>Use partial where act is not a formal sacrifice.</x:v>
      </x:c>
    </x:row>
    <x:row r="46" ht="48" customHeight="1">
      <x:c r="A46" s="10" t="str">
        <x:v>divine_smells_or_accepts_offering</x:v>
      </x:c>
      <x:c r="B46" s="10" t="str">
        <x:v>aftermath/ritual</x:v>
      </x:c>
      <x:c r="C46" s="10" t="str">
        <x:v>Deity/deities smell, accept, gather to, or respond positively to an offering.</x:v>
      </x:c>
      <x:c r="D46" s="10" t="str">
        <x:v>Genesis/Gilgamesh strong; Nuʻu partial.</x:v>
      </x:c>
    </x:row>
    <x:row r="47" ht="48" customHeight="1">
      <x:c r="A47" s="10" t="str">
        <x:v>post_flood_offering_misdirected_or_inverted</x:v>
      </x:c>
      <x:c r="B47" s="10" t="str">
        <x:v>aftermath/ritual</x:v>
      </x:c>
      <x:c r="C47" s="10" t="str">
        <x:v>Post-flood food/fire/offering produces divine correction, anger, or inversion rather than straightforward acceptance.</x:v>
      </x:c>
      <x:c r="D47" s="10" t="str">
        <x:v>Nahui Atl and Nuʻu.</x:v>
      </x:c>
    </x:row>
    <x:row r="48" ht="48" customHeight="1">
      <x:c r="A48" s="10" t="str">
        <x:v>divine_regret_grief_conflict_after_flood</x:v>
      </x:c>
      <x:c r="B48" s="10" t="str">
        <x:v>aftermath/divine response</x:v>
      </x:c>
      <x:c r="C48" s="10" t="str">
        <x:v>Divine regret, grief, fear, anger at survival, conflict, or restraint occurs after/during flood.</x:v>
      </x:c>
      <x:c r="D48" s="10" t="str">
        <x:v>Mesopotamian strong; Genesis partial for restraint.</x:v>
      </x:c>
    </x:row>
    <x:row r="49" ht="48" customHeight="1">
      <x:c r="A49" s="10" t="str">
        <x:v>survivor_reward_or_blessing</x:v>
      </x:c>
      <x:c r="B49" s="10" t="str">
        <x:v>aftermath/reward</x:v>
      </x:c>
      <x:c r="C49" s="10" t="str">
        <x:v>Survivor receives blessing, choice, reward, forgiveness, status, or special outcome.</x:v>
      </x:c>
      <x:c r="D49" s="10" t="str">
        <x:v>Broad reward column.</x:v>
      </x:c>
    </x:row>
    <x:row r="50" ht="48" customHeight="1">
      <x:c r="A50" s="10" t="str">
        <x:v>covenant_promise_or_rainbow</x:v>
      </x:c>
      <x:c r="B50" s="10" t="str">
        <x:v>aftermath/sign</x:v>
      </x:c>
      <x:c r="C50" s="10" t="str">
        <x:v>Formal covenant, no-more-flood promise, rainbow sign/token, or equivalent sign of reconciliation appears.</x:v>
      </x:c>
      <x:c r="D50" s="10" t="str">
        <x:v>Nuʻu rainbow is coded present but noted as not identical to Genesis covenant.</x:v>
      </x:c>
    </x:row>
    <x:row r="51" ht="48" customHeight="1">
      <x:c r="A51" s="10" t="str">
        <x:v>immortality_or_godlike_reward</x:v>
      </x:c>
      <x:c r="B51" s="10" t="str">
        <x:v>aftermath/reward</x:v>
      </x:c>
      <x:c r="C51" s="10" t="str">
        <x:v>Survivor receives immortality, godlike life, or permanent divine status.</x:v>
      </x:c>
      <x:c r="D51" s="10" t="str">
        <x:v>Gilgamesh and Ziusudra.</x:v>
      </x:c>
    </x:row>
    <x:row r="52" ht="48" customHeight="1">
      <x:c r="A52" s="10" t="str">
        <x:v>new_rules_or_order_after_flood</x:v>
      </x:c>
      <x:c r="B52" s="10" t="str">
        <x:v>aftermath/order</x:v>
      </x:c>
      <x:c r="C52" s="10" t="str">
        <x:v>New social, cosmic, ritual, moral, or biological order is established after the flood.</x:v>
      </x:c>
      <x:c r="D52" s="10" t="str">
        <x:v>Includes Genesis rules, Atrahasis population controls, Yu social order.</x:v>
      </x:c>
    </x:row>
    <x:row r="53" ht="48" customHeight="1">
      <x:c r="A53" s="10" t="str">
        <x:v>population_control_after_flood</x:v>
      </x:c>
      <x:c r="B53" s="10" t="str">
        <x:v>aftermath/order</x:v>
      </x:c>
      <x:c r="C53" s="10" t="str">
        <x:v>Post-flood solution includes death, infant mortality, fertility limits, celibacy, or explicit population/noise control.</x:v>
      </x:c>
      <x:c r="D53" s="10" t="str">
        <x:v>Atrahasis.</x:v>
      </x:c>
    </x:row>
    <x:row r="54" ht="48" customHeight="1">
      <x:c r="A54" s="10" t="str">
        <x:v>humanity_restored_after_flood</x:v>
      </x:c>
      <x:c r="B54" s="10" t="str">
        <x:v>restoration</x:v>
      </x:c>
      <x:c r="C54" s="10" t="str">
        <x:v>Humanity or present people are restored, recreated, repopulated, or continue after the flood.</x:v>
      </x:c>
      <x:c r="D54" s="10" t="str">
        <x:v>Use 0 if no human restoration is narrated.</x:v>
      </x:c>
    </x:row>
    <x:row r="55" ht="48" customHeight="1">
      <x:c r="A55" s="10" t="str">
        <x:v>ritual_recreation_after_flood</x:v>
      </x:c>
      <x:c r="B55" s="10" t="str">
        <x:v>restoration</x:v>
      </x:c>
      <x:c r="C55" s="10" t="str">
        <x:v>Human restoration occurs through sacrifice, ritual, divine penance, or sacred procedure.</x:v>
      </x:c>
      <x:c r="D55" s="10" t="str">
        <x:v>Manu and Nahui Atl.</x:v>
      </x:c>
    </x:row>
    <x:row r="56" ht="48" customHeight="1">
      <x:c r="A56" s="10" t="str">
        <x:v>stones_bones_blood_or_material_recreation</x:v>
      </x:c>
      <x:c r="B56" s="10" t="str">
        <x:v>restoration</x:v>
      </x:c>
      <x:c r="C56" s="10" t="str">
        <x:v>New humans or world are made from stones, bones, blood, offerings, corpse material, or other material substance.</x:v>
      </x:c>
      <x:c r="D56" s="10" t="str">
        <x:v>Broad material-recreation motif.</x:v>
      </x:c>
    </x:row>
    <x:row r="57" ht="48" customHeight="1">
      <x:c r="A57" s="10" t="str">
        <x:v>civilization_restored_after_flood</x:v>
      </x:c>
      <x:c r="B57" s="10" t="str">
        <x:v>restoration</x:v>
      </x:c>
      <x:c r="C57" s="10" t="str">
        <x:v>Agriculture, social order, cities, ethics, knowledge, or civilization is restored after flood/disorder.</x:v>
      </x:c>
      <x:c r="D57" s="10" t="str">
        <x:v>Yu is strongest example.</x:v>
      </x:c>
    </x:row>
    <x:row r="58" ht="48" customHeight="1">
      <x:c r="A58" s="10" t="str">
        <x:v>hydraulic_engineering_or_public_works</x:v>
      </x:c>
      <x:c r="B58" s="10" t="str">
        <x:v>restoration</x:v>
      </x:c>
      <x:c r="C58" s="10" t="str">
        <x:v>Flood is solved by channeling rivers, clearing watercourses, or organized infrastructure.</x:v>
      </x:c>
      <x:c r="D58" s="10" t="str">
        <x:v>Yu.</x:v>
      </x:c>
    </x:row>
    <x:row r="59" ht="48" customHeight="1">
      <x:c r="A59" s="10" t="str">
        <x:v>animal_body_or_species_origin_motif</x:v>
      </x:c>
      <x:c r="B59" s="10" t="str">
        <x:v>etiology</x:v>
      </x:c>
      <x:c r="C59" s="10" t="str">
        <x:v>Flood explains origin or trait of an animal/species, such as fox tail, monkeys, dogs, or fish transformation.</x:v>
      </x:c>
      <x:c r="D59" s="10" t="str">
        <x:v>Coded where the story has an explicit etiological animal result.</x:v>
      </x:c>
    </x:row>
    <x:row r="60" ht="48" customHeight="1">
      <x:c r="A60" s="10" t="str">
        <x:v>source_biblical_influence_caution</x:v>
      </x:c>
      <x:c r="B60" s="10" t="str">
        <x:v>source quality</x:v>
      </x:c>
      <x:c r="C60" s="10" t="str">
        <x:v>Source or tradition has explicit caution about biblical/Christian/missionary/colonial influence shaping the flood form.</x:v>
      </x:c>
      <x:c r="D60" s="10" t="str">
        <x:v>Nuʻu and Huarochirí are coded; Bergelmir has Christian-source caution in notes but not this specific biblical analogy marker.</x:v>
      </x:c>
    </x:row>
    <x:row r="65">
      <x:c r="A65" s="17" t="str">
        <x:v>include_in_core_analysis</x:v>
      </x:c>
      <x:c r="B65" s="17" t="str">
        <x:v>analysis/filter</x:v>
      </x:c>
      <x:c r="C65" s="17" t="str">
        <x:v>Manual flag showing whether a row belongs in the first core heatmap.</x:v>
      </x:c>
      <x:c r="D65" s="17" t="str">
        <x:v>Use yes for classic survivor-flood anchors; caution for useful but source/type-limited rows; no for expanded subtype rows.</x:v>
      </x:c>
    </x:row>
    <x:row r="66">
      <x:c r="A66" s="17" t="str">
        <x:v>analysis_group</x:v>
      </x:c>
      <x:c r="B66" s="17" t="str">
        <x:v>analysis/filter</x:v>
      </x:c>
      <x:c r="C66" s="17" t="str">
        <x:v>High-level grouping used for filtering, colors, and interpretation.</x:v>
      </x:c>
      <x:c r="D66" s="17" t="str">
        <x:v>Examples: mesopotamian_cluster, classic_survivor_flood, flood_control, failed_creation, world_age_flood, primordial_reset, biblicalized_or_layered.</x:v>
      </x:c>
    </x:row>
    <x:row r="67">
      <x:c r="A67" s="17" t="str">
        <x:v>core_survivor_package_score</x:v>
      </x:c>
      <x:c r="B67" s="17" t="str">
        <x:v>derived score</x:v>
      </x:c>
      <x:c r="C67" s="17" t="str">
        <x:v>Weighted motif score using only classic survivor-flood package motifs.</x:v>
      </x:c>
      <x:c r="D67" s="17" t="str">
        <x:v>Formula counts 1 as 1 and partial/ambiguous as 0.5 across selected warning, vessel, preservation, landing, bird, offering, and aftermath motifs.</x:v>
      </x:c>
    </x:row>
    <x:row r="68">
      <x:c r="A68" s="17" t="str">
        <x:v>expanded_flood_catastrophe_score</x:v>
      </x:c>
      <x:c r="B68" s="17" t="str">
        <x:v>derived score</x:v>
      </x:c>
      <x:c r="C68" s="17" t="str">
        <x:v>Weighted motif score across the full MVP motif range.</x:v>
      </x:c>
      <x:c r="D68" s="17" t="str">
        <x:v>Formula counts 1 as 1 and partial/ambiguous as 0.5 across all motif columns M:BH. Use for broad flood-catastrophe comparison, not as an importance score.</x:v>
      </x:c>
    </x:row>
    <x:row r="69">
      <x:c r="A69" s="17" t="str">
        <x:v>recommended_first_visual</x:v>
      </x:c>
      <x:c r="B69" s="17" t="str">
        <x:v>analysis/filter</x:v>
      </x:c>
      <x:c r="C69" s="17" t="str">
        <x:v>Suggested visualization layer for the first pass.</x:v>
      </x:c>
      <x:c r="D69" s="17" t="str">
        <x:v>core_heatmap for first classic view; expanded_heatmap for subtype view; caution_layer for rows requiring careful explanation.</x:v>
      </x:c>
    </x:row>
    <x:row r="70">
      <x:c r="A70" s="17" t="str">
        <x:v>score_notes</x:v>
      </x:c>
      <x:c r="B70" s="17" t="str">
        <x:v>analysis/filter</x:v>
      </x:c>
      <x:c r="C70" s="17" t="str">
        <x:v>Plain-language note explaining why the row is included, excluded, or cautioned.</x:v>
      </x:c>
      <x:c r="D70" s="17" t="str">
        <x:v>Use for interpretation and README language.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34" hidden="0" customWidth="1"/>
    <x:col min="3" max="3" width="38" hidden="0" customWidth="1"/>
    <x:col min="4" max="4" width="20" hidden="0" customWidth="1"/>
    <x:col min="5" max="5" width="68" hidden="0" customWidth="1"/>
    <x:col min="6" max="6" width="22" hidden="0" customWidth="1"/>
    <x:col min="7" max="7" width="52" hidden="0" customWidth="1"/>
    <x:col min="8" max="8" width="16" hidden="0" customWidth="1"/>
    <x:col min="9" max="9" width="24" hidden="0" customWidth="1"/>
    <x:col min="10" max="10" width="20" hidden="0" customWidth="1"/>
  </x:cols>
  <x:sheetData>
    <x:row r="1">
      <x:c r="A1" s="2" t="str">
        <x:v>Myth Migration — Story Type Summary</x:v>
      </x:c>
    </x:row>
    <x:row r="2">
      <x:c r="A2" s="4" t="str">
        <x:v>This sheet separates classic survivor-flood rows from subtype rows so the first analysis does not force every myth into a Noah-style template.</x:v>
      </x:c>
    </x:row>
    <x:row r="4" ht="40" customHeight="1">
      <x:c r="A4" s="7" t="str">
        <x:v>story_id</x:v>
      </x:c>
      <x:c r="B4" s="7" t="str">
        <x:v>story_name</x:v>
      </x:c>
      <x:c r="C4" s="7" t="str">
        <x:v>story_type</x:v>
      </x:c>
      <x:c r="D4" s="7" t="str">
        <x:v>classic_survivor_package</x:v>
      </x:c>
      <x:c r="E4" s="7" t="str">
        <x:v>key_subtype_features</x:v>
      </x:c>
      <x:c r="F4" s="7" t="str">
        <x:v>use_in_first_heatmap</x:v>
      </x:c>
      <x:c r="G4" s="7" t="str">
        <x:v>caution</x:v>
      </x:c>
      <x:c r="H4" s="17" t="str">
        <x:v>include_in_core_analysis</x:v>
      </x:c>
      <x:c r="I4" s="17" t="str">
        <x:v>analysis_group</x:v>
      </x:c>
      <x:c r="J4" s="17" t="str">
        <x:v>recommended_first_visual</x:v>
      </x:c>
    </x:row>
    <x:row r="5" ht="58" customHeight="1">
      <x:c r="A5" s="10" t="str">
        <x:v>FM-001</x:v>
      </x:c>
      <x:c r="B5" s="10" t="str">
        <x:v>Genesis Flood / Noah</x:v>
      </x:c>
      <x:c r="C5" s="10" t="str">
        <x:v>survivor-ark flood</x:v>
      </x:c>
      <x:c r="D5" s="10" t="n">
        <x:v>1</x:v>
      </x:c>
      <x:c r="E5" s="10" t="str">
        <x:v>Direct warning, ark, family/animals, mountain landing, bird test, sacrifice, covenant/rainbow</x:v>
      </x:c>
      <x:c r="F5" s="10" t="str">
        <x:v>yes</x:v>
      </x:c>
      <x:c r="G5" s="10" t="str">
        <x:v>Canonical biblical anchor row.</x:v>
      </x:c>
      <x:c r="H5" s="17" t="str">
        <x:v>yes</x:v>
      </x:c>
      <x:c r="I5" s="17" t="str">
        <x:v>biblical_anchor</x:v>
      </x:c>
      <x:c r="J5" s="17" t="str">
        <x:v>core_heatmap</x:v>
      </x:c>
    </x:row>
    <x:row r="6" ht="58" customHeight="1">
      <x:c r="A6" s="10" t="str">
        <x:v>FM-002</x:v>
      </x:c>
      <x:c r="B6" s="10" t="str">
        <x:v>Gilgamesh Tablet XI / Utanapishtim</x:v>
      </x:c>
      <x:c r="C6" s="10" t="str">
        <x:v>secret-warning ark flood</x:v>
      </x:c>
      <x:c r="D6" s="10" t="n">
        <x:v>1</x:v>
      </x:c>
      <x:c r="E6" s="10" t="str">
        <x:v>Divine council, secret wall warning, technical boat, craftsmen, bird test, sacrifice, immortality</x:v>
      </x:c>
      <x:c r="F6" s="10" t="str">
        <x:v>yes</x:v>
      </x:c>
      <x:c r="G6" s="10" t="str">
        <x:v>Best Mesopotamian comparison to Genesis.</x:v>
      </x:c>
      <x:c r="H6" s="17" t="str">
        <x:v>yes</x:v>
      </x:c>
      <x:c r="I6" s="17" t="str">
        <x:v>mesopotamian_cluster</x:v>
      </x:c>
      <x:c r="J6" s="17" t="str">
        <x:v>core_heatmap</x:v>
      </x:c>
    </x:row>
    <x:row r="7" ht="58" customHeight="1">
      <x:c r="A7" s="10" t="str">
        <x:v>FM-003</x:v>
      </x:c>
      <x:c r="B7" s="10" t="str">
        <x:v>Atrahasis Flood</x:v>
      </x:c>
      <x:c r="C7" s="10" t="str">
        <x:v>noise-cause survivor flood</x:v>
      </x:c>
      <x:c r="D7" s="10" t="n">
        <x:v>1</x:v>
      </x:c>
      <x:c r="E7" s="10" t="str">
        <x:v>Noise/overpopulation cause, Enki warning, pitch boat, gods need offerings, population control</x:v>
      </x:c>
      <x:c r="F7" s="10" t="str">
        <x:v>yes</x:v>
      </x:c>
      <x:c r="G7" s="10" t="str">
        <x:v>Fragmentary; code aftermath carefully.</x:v>
      </x:c>
      <x:c r="H7" s="17" t="str">
        <x:v>yes</x:v>
      </x:c>
      <x:c r="I7" s="17" t="str">
        <x:v>mesopotamian_cluster</x:v>
      </x:c>
      <x:c r="J7" s="17" t="str">
        <x:v>core_heatmap</x:v>
      </x:c>
    </x:row>
    <x:row r="8" ht="58" customHeight="1">
      <x:c r="A8" s="10" t="str">
        <x:v>FM-004</x:v>
      </x:c>
      <x:c r="B8" s="10" t="str">
        <x:v>Eridu Genesis / Ziusudra</x:v>
      </x:c>
      <x:c r="C8" s="10" t="str">
        <x:v>king-priest secret-warning flood</x:v>
      </x:c>
      <x:c r="D8" s="10" t="n">
        <x:v>1</x:v>
      </x:c>
      <x:c r="E8" s="10" t="str">
        <x:v>King-priest survivor, Enki wall warning, seven-day flood, sacrifice, immortality/Dilmun</x:v>
      </x:c>
      <x:c r="F8" s="10" t="str">
        <x:v>yes</x:v>
      </x:c>
      <x:c r="G8" s="10" t="str">
        <x:v>Fragmentary but important Mesopotamian cluster row.</x:v>
      </x:c>
      <x:c r="H8" s="17" t="str">
        <x:v>yes</x:v>
      </x:c>
      <x:c r="I8" s="17" t="str">
        <x:v>mesopotamian_cluster</x:v>
      </x:c>
      <x:c r="J8" s="17" t="str">
        <x:v>core_heatmap</x:v>
      </x:c>
    </x:row>
    <x:row r="9" ht="58" customHeight="1">
      <x:c r="A9" s="10" t="str">
        <x:v>FM-005</x:v>
      </x:c>
      <x:c r="B9" s="10" t="str">
        <x:v>Deucalion and Pyrrha</x:v>
      </x:c>
      <x:c r="C9" s="10" t="str">
        <x:v>survivor-chest flood</x:v>
      </x:c>
      <x:c r="D9" s="10" t="n">
        <x:v>1</x:v>
      </x:c>
      <x:c r="E9" s="10" t="str">
        <x:v>Prometheus warning, chest, survivor couple, Parnassus, sacrifice, stones become humans</x:v>
      </x:c>
      <x:c r="F9" s="10" t="str">
        <x:v>yes</x:v>
      </x:c>
      <x:c r="G9" s="10" t="str">
        <x:v>Apollodorus version only; Ovid should be separate row if added.</x:v>
      </x:c>
      <x:c r="H9" s="17" t="str">
        <x:v>yes</x:v>
      </x:c>
      <x:c r="I9" s="17" t="str">
        <x:v>classic_survivor_flood</x:v>
      </x:c>
      <x:c r="J9" s="17" t="str">
        <x:v>core_heatmap</x:v>
      </x:c>
    </x:row>
    <x:row r="10" ht="58" customHeight="1">
      <x:c r="A10" s="10" t="str">
        <x:v>FM-006</x:v>
      </x:c>
      <x:c r="B10" s="10" t="str">
        <x:v>Manu and the Fish</x:v>
      </x:c>
      <x:c r="C10" s="10" t="str">
        <x:v>animal-helper ritual-recreation flood</x:v>
      </x:c>
      <x:c r="D10" s="10" t="n">
        <x:v>1</x:v>
      </x:c>
      <x:c r="E10" s="10" t="str">
        <x:v>Fish helper, reciprocal rescue, horned fish guides ship, northern mountain, ritual recreation</x:v>
      </x:c>
      <x:c r="F10" s="10" t="str">
        <x:v>yes</x:v>
      </x:c>
      <x:c r="G10" s="10" t="str">
        <x:v>Early Śatapatha version; later Matsya/Vishnu versions should be separate.</x:v>
      </x:c>
      <x:c r="H10" s="17" t="str">
        <x:v>yes</x:v>
      </x:c>
      <x:c r="I10" s="17" t="str">
        <x:v>classic_survivor_flood</x:v>
      </x:c>
      <x:c r="J10" s="17" t="str">
        <x:v>core_heatmap</x:v>
      </x:c>
    </x:row>
    <x:row r="11" ht="58" customHeight="1">
      <x:c r="A11" s="10" t="str">
        <x:v>FM-007</x:v>
      </x:c>
      <x:c r="B11" s="10" t="str">
        <x:v>Yu Controls the Flood</x:v>
      </x:c>
      <x:c r="C11" s="10" t="str">
        <x:v>flood-control civilization-restoration myth</x:v>
      </x:c>
      <x:c r="D11" s="10" t="n">
        <x:v>0</x:v>
      </x:c>
      <x:c r="E11" s="10" t="str">
        <x:v>Water control, hydraulic engineering, agriculture and moral education restore civilization</x:v>
      </x:c>
      <x:c r="F11" s="10" t="str">
        <x:v>yes, but separate color group</x:v>
      </x:c>
      <x:c r="G11" s="10" t="str">
        <x:v>Not a survivor-vessel flood.</x:v>
      </x:c>
      <x:c r="H11" s="17" t="str">
        <x:v>no</x:v>
      </x:c>
      <x:c r="I11" s="17" t="str">
        <x:v>flood_control</x:v>
      </x:c>
      <x:c r="J11" s="17" t="str">
        <x:v>expanded_heatmap</x:v>
      </x:c>
    </x:row>
    <x:row r="12" ht="58" customHeight="1">
      <x:c r="A12" s="10" t="str">
        <x:v>FM-008</x:v>
      </x:c>
      <x:c r="B12" s="10" t="str">
        <x:v>Popol Vuh / Wooden People</x:v>
      </x:c>
      <x:c r="C12" s="10" t="str">
        <x:v>failed-creation destruction flood</x:v>
      </x:c>
      <x:c r="D12" s="10" t="n">
        <x:v>0</x:v>
      </x:c>
      <x:c r="E12" s="10" t="str">
        <x:v>Failed wooden humanity, resin/black rain, objects and animals rebel, monkeys remain</x:v>
      </x:c>
      <x:c r="F12" s="10" t="str">
        <x:v>yes, but separate color group</x:v>
      </x:c>
      <x:c r="G12" s="10" t="str">
        <x:v>No survivor/ark; failed-creation subtype.</x:v>
      </x:c>
      <x:c r="H12" s="17" t="str">
        <x:v>no</x:v>
      </x:c>
      <x:c r="I12" s="17" t="str">
        <x:v>failed_creation</x:v>
      </x:c>
      <x:c r="J12" s="17" t="str">
        <x:v>expanded_heatmap</x:v>
      </x:c>
    </x:row>
    <x:row r="13" ht="58" customHeight="1">
      <x:c r="A13" s="10" t="str">
        <x:v>FM-009</x:v>
      </x:c>
      <x:c r="B13" s="10" t="str">
        <x:v>Huarochirí / Llama Warns Flood</x:v>
      </x:c>
      <x:c r="C13" s="10" t="str">
        <x:v>animal-warning mountain-refuge flood</x:v>
      </x:c>
      <x:c r="D13" s="10" t="n">
        <x:v>0</x:v>
      </x:c>
      <x:c r="E13" s="10" t="str">
        <x:v>Speaking llama, five-day warning, mountain refuge, animals gather, fox tail blackened</x:v>
      </x:c>
      <x:c r="F13" s="10" t="str">
        <x:v>yes</x:v>
      </x:c>
      <x:c r="G13" s="10" t="str">
        <x:v>Family survival and repopulation mechanism ambiguous.</x:v>
      </x:c>
      <x:c r="H13" s="17" t="str">
        <x:v>caution</x:v>
      </x:c>
      <x:c r="I13" s="17" t="str">
        <x:v>animal_warning_mountain_refuge</x:v>
      </x:c>
      <x:c r="J13" s="17" t="str">
        <x:v>caution_layer</x:v>
      </x:c>
    </x:row>
    <x:row r="14" ht="58" customHeight="1">
      <x:c r="A14" s="10" t="str">
        <x:v>FM-010</x:v>
      </x:c>
      <x:c r="B14" s="10" t="str">
        <x:v>Nahui Atl / Tata and Nene</x:v>
      </x:c>
      <x:c r="C14" s="10" t="str">
        <x:v>world-age flood with survivor transformation</x:v>
      </x:c>
      <x:c r="D14" s="10" t="n">
        <x:v>0</x:v>
      </x:c>
      <x:c r="E14" s="10" t="str">
        <x:v>Water Sun, tree vessel, maize ration, survivors become dogs, humanity recreated from bones/blood</x:v>
      </x:c>
      <x:c r="F14" s="10" t="str">
        <x:v>yes</x:v>
      </x:c>
      <x:c r="G14" s="10" t="str">
        <x:v>World-age context; survivors are not human ancestors.</x:v>
      </x:c>
      <x:c r="H14" s="17" t="str">
        <x:v>no</x:v>
      </x:c>
      <x:c r="I14" s="17" t="str">
        <x:v>world_age_flood</x:v>
      </x:c>
      <x:c r="J14" s="17" t="str">
        <x:v>expanded_heatmap</x:v>
      </x:c>
    </x:row>
    <x:row r="15" ht="58" customHeight="1">
      <x:c r="A15" s="10" t="str">
        <x:v>FM-011</x:v>
      </x:c>
      <x:c r="B15" s="10" t="str">
        <x:v>Bergelmir and the Blood Flood</x:v>
      </x:c>
      <x:c r="C15" s="10" t="str">
        <x:v>primordial blood-flood / giant-lineage reset</x:v>
      </x:c>
      <x:c r="D15" s="10" t="n">
        <x:v>0</x:v>
      </x:c>
      <x:c r="E15" s="10" t="str">
        <x:v>Ymir slain, blood drowns giants, Bergelmir survives, Ymir body becomes world</x:v>
      </x:c>
      <x:c r="F15" s="10" t="str">
        <x:v>yes, but separate color group</x:v>
      </x:c>
      <x:c r="G15" s="10" t="str">
        <x:v>Not a human flood; vessel terminology debated.</x:v>
      </x:c>
      <x:c r="H15" s="17" t="str">
        <x:v>no</x:v>
      </x:c>
      <x:c r="I15" s="17" t="str">
        <x:v>primordial_reset</x:v>
      </x:c>
      <x:c r="J15" s="17" t="str">
        <x:v>expanded_heatmap</x:v>
      </x:c>
    </x:row>
    <x:row r="16" ht="58" customHeight="1">
      <x:c r="A16" s="10" t="str">
        <x:v>FM-012</x:v>
      </x:c>
      <x:c r="B16" s="10" t="str">
        <x:v>Nuʻu and the Hawaiian Flood</x:v>
      </x:c>
      <x:c r="C16" s="10" t="str">
        <x:v>layered sea-flood with biblicalized ark structure</x:v>
      </x:c>
      <x:c r="D16" s="10" t="n">
        <x:v>1</x:v>
      </x:c>
      <x:c r="E16" s="10" t="str">
        <x:v>Sea flood, house-vessel, Mauna Kea, misdirected offering, Kāne forgiveness, rainbow</x:v>
      </x:c>
      <x:c r="F16" s="10" t="str">
        <x:v>yes, with caution</x:v>
      </x:c>
      <x:c r="G16" s="10" t="str">
        <x:v>Strong biblical analogy / layered source.</x:v>
      </x:c>
      <x:c r="H16" s="17" t="str">
        <x:v>caution</x:v>
      </x:c>
      <x:c r="I16" s="17" t="str">
        <x:v>biblicalized_or_layered</x:v>
      </x:c>
      <x:c r="J16" s="17" t="str">
        <x:v>caution_layer</x:v>
      </x:c>
    </x:row>
  </x:sheetData>
  <x:conditionalFormatting sqref="D5:D16">
    <x:cfRule type="cellIs" dxfId="6" priority="1">
      <x:formula>1</x:formula>
    </x:cfRule>
    <x:cfRule type="cellIs" dxfId="7" priority="2">
      <x:formula>0</x:formula>
    </x:cfRule>
  </x:conditionalFormatting>
  <x:pageMargins left="0.7" right="0.7" top="0.75" bottom="0.75" header="0.3" footer="0.3"/>
</x:worksheet>
</file>